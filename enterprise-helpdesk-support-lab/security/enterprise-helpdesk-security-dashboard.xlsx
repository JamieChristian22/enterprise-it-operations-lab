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a8ec5fa2a4140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curity Dashboard" sheetId="1" r:id="R27d1b696849140ad"/>
    <x:sheet xmlns:r="http://schemas.openxmlformats.org/officeDocument/2006/relationships" name="Security Events" sheetId="2" r:id="R86f75e6a8fd74ac1"/>
    <x:sheet xmlns:r="http://schemas.openxmlformats.org/officeDocument/2006/relationships" name="Endpoint Compliance" sheetId="3" r:id="R16cd539bdc11481c"/>
    <x:sheet xmlns:r="http://schemas.openxmlformats.org/officeDocument/2006/relationships" name="Vulnerability Tracker" sheetId="4" r:id="Rff5ce7ebb5864759"/>
    <x:sheet xmlns:r="http://schemas.openxmlformats.org/officeDocument/2006/relationships" name="Access Reviews" sheetId="5" r:id="R8d1c445ce27148ed"/>
    <x:sheet xmlns:r="http://schemas.openxmlformats.org/officeDocument/2006/relationships" name="Risk Register" sheetId="6" r:id="Rf0a58db992a94830"/>
    <x:sheet xmlns:r="http://schemas.openxmlformats.org/officeDocument/2006/relationships" name="KPI Definitions" sheetId="7" r:id="Rf45f82f02b734b32"/>
    <x:sheet xmlns:r="http://schemas.openxmlformats.org/officeDocument/2006/relationships" name="Validation" sheetId="8" r:id="Re33a363730e84f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 hh:mm"/>
    <x:numFmt numFmtId="201" formatCode="0.0%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20"/>
      <x:color rgb="FFFFFFFF"/>
      <x:name val="Carlito"/>
    </x:font>
    <x:font>
      <x:i/>
      <x:sz val="11"/>
      <x:color rgb="FF334155"/>
      <x:name val="Carlito"/>
    </x:font>
    <x:font>
      <x:b/>
      <x:sz val="13"/>
      <x:color rgb="FF0F172A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172A"/>
      </x:patternFill>
    </x:fill>
    <x:fill>
      <x:patternFill patternType="solid">
        <x:fgColor rgb="FFE2E8F0"/>
      </x:patternFill>
    </x:fill>
    <x:fill>
      <x:patternFill patternType="solid">
        <x:fgColor rgb="FFF8FAFC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ea7daab0f847c5" /><Relationship Type="http://schemas.openxmlformats.org/officeDocument/2006/relationships/theme" Target="/xl/theme/theme1.xml" Id="Raa0d52589ee441fb" /><Relationship Type="http://schemas.openxmlformats.org/officeDocument/2006/relationships/sharedStrings" Target="/xl/sharedStrings.xml" Id="Rf0a260bf19504f92" /><Relationship Type="http://schemas.openxmlformats.org/officeDocument/2006/relationships/worksheet" Target="/xl/worksheets/sheet1.xml" Id="R27d1b696849140ad" /><Relationship Type="http://schemas.openxmlformats.org/officeDocument/2006/relationships/worksheet" Target="/xl/worksheets/sheet2.xml" Id="R86f75e6a8fd74ac1" /><Relationship Type="http://schemas.openxmlformats.org/officeDocument/2006/relationships/worksheet" Target="/xl/worksheets/sheet3.xml" Id="R16cd539bdc11481c" /><Relationship Type="http://schemas.openxmlformats.org/officeDocument/2006/relationships/worksheet" Target="/xl/worksheets/sheet4.xml" Id="Rff5ce7ebb5864759" /><Relationship Type="http://schemas.openxmlformats.org/officeDocument/2006/relationships/worksheet" Target="/xl/worksheets/sheet5.xml" Id="R8d1c445ce27148ed" /><Relationship Type="http://schemas.openxmlformats.org/officeDocument/2006/relationships/worksheet" Target="/xl/worksheets/sheet6.xml" Id="Rf0a58db992a94830" /><Relationship Type="http://schemas.openxmlformats.org/officeDocument/2006/relationships/worksheet" Target="/xl/worksheets/sheet7.xml" Id="Rf45f82f02b734b32" /><Relationship Type="http://schemas.openxmlformats.org/officeDocument/2006/relationships/worksheet" Target="/xl/worksheets/sheet8.xml" Id="Re33a363730e84f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e3cfc6f8e2b4078" /><Relationship Type="http://schemas.openxmlformats.org/officeDocument/2006/relationships/chart" Target="/xl/drawings/charts/chart2.xml" Id="R29c7150d379042d5" /><Relationship Type="http://schemas.openxmlformats.org/officeDocument/2006/relationships/chart" Target="/xl/drawings/charts/chart3.xml" Id="Rcc4aa3910faf426a" /><Relationship Type="http://schemas.openxmlformats.org/officeDocument/2006/relationships/chart" Target="/xl/drawings/charts/chart4.xml" Id="R4c922d84955c4e6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Security Events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Events</c:v>
          </c:tx>
          <c:cat>
            <c:strRef>
              <c:f>'Security Dashboard'!$A$19:$A$23</c:f>
              <c:strCache>
                <c:ptCount val="0"/>
              </c:strCache>
            </c:strRef>
          </c:cat>
          <c:val>
            <c:numRef>
              <c:f>'Security Dashboard'!$B$19:$B$23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Events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Events</c:v>
          </c:tx>
          <c:cat>
            <c:strRef>
              <c:f>'Security Dashboard'!$D$19:$D$22</c:f>
              <c:strCache>
                <c:ptCount val="0"/>
              </c:strCache>
            </c:strRef>
          </c:cat>
          <c:val>
            <c:numRef>
              <c:f>'Security Dashboard'!$E$19:$E$22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Security Control Compliance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Compliance</c:v>
          </c:tx>
          <c:cat>
            <c:strRef>
              <c:f>'Security Dashboard'!$G$19:$G$23</c:f>
              <c:strCache>
                <c:ptCount val="0"/>
              </c:strCache>
            </c:strRef>
          </c:cat>
          <c:val>
            <c:numRef>
              <c:f>'Security Dashboard'!$H$19:$H$23</c:f>
              <c:numCache>
                <c:formatCode>0.0%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Vulnerabilities by Severity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cat>
            <c:strRef>
              <c:f>'Security Dashboard'!$J$19:$J$22</c:f>
              <c:strCache>
                <c:ptCount val="0"/>
              </c:strCache>
            </c:strRef>
          </c:cat>
          <c:val>
            <c:numRef>
              <c:f>'Security Dashboard'!$K$19:$K$22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24</xdr:row>
      <xdr:rowOff>0</xdr:rowOff>
    </xdr:from>
    <xdr:to>
      <xdr:col>6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e3cfc6f8e2b4078"/>
        </a:graphicData>
      </a:graphic>
    </xdr:graphicFrame>
    <xdr:clientData/>
  </xdr:twoCellAnchor>
  <xdr:twoCellAnchor>
    <xdr:from>
      <xdr:col>6</xdr:col>
      <xdr:colOff>0</xdr:colOff>
      <xdr:row>24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9c7150d379042d5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6</xdr:col>
      <xdr:colOff>0</xdr:colOff>
      <xdr:row>59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c4aa3910faf426a"/>
        </a:graphicData>
      </a:graphic>
    </xdr:graphicFrame>
    <xdr:clientData/>
  </xdr:twoCellAnchor>
  <xdr:twoCellAnchor>
    <xdr:from>
      <xdr:col>6</xdr:col>
      <xdr:colOff>0</xdr:colOff>
      <xdr:row>42</xdr:row>
      <xdr:rowOff>0</xdr:rowOff>
    </xdr:from>
    <xdr:to>
      <xdr:col>12</xdr:col>
      <xdr:colOff>0</xdr:colOff>
      <xdr:row>59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c922d84955c4e6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curityEventsTable" displayName="SecurityEventsTable" ref="A1:J9" headerRowCount="1">
  <x:tableColumns count="10">
    <x:tableColumn id="1" name="Event ID"/>
    <x:tableColumn id="2" name="Detected At"/>
    <x:tableColumn id="3" name="Category"/>
    <x:tableColumn id="4" name="Severity"/>
    <x:tableColumn id="5" name="Owner"/>
    <x:tableColumn id="6" name="Related Record"/>
    <x:tableColumn id="7" name="Status"/>
    <x:tableColumn id="8" name="Summary"/>
    <x:tableColumn id="9" name="Response"/>
    <x:tableColumn id="10" name="Outco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980bc5f226a458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4ec1ddd96744d3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4" hidden="0" customWidth="1"/>
    <x:col min="4" max="4" width="18" hidden="0" customWidth="1"/>
    <x:col min="5" max="5" width="14" hidden="0" customWidth="1"/>
    <x:col min="6" max="6" width="4" hidden="0" customWidth="1"/>
    <x:col min="7" max="7" width="20" hidden="0" customWidth="1"/>
    <x:col min="8" max="8" width="14" hidden="0" customWidth="1"/>
    <x:col min="9" max="9" width="4" hidden="0" customWidth="1"/>
    <x:col min="10" max="10" width="18" hidden="0" customWidth="1"/>
    <x:col min="11" max="11" width="14" hidden="0" customWidth="1"/>
    <x:col min="12" max="12" width="4" hidden="0" customWidth="1"/>
  </x:cols>
  <x:sheetData>
    <x:row r="1">
      <x:c r="A1" s="22" t="str">
        <x:v>Enterprise Help Desk Security Dashboard</x:v>
      </x:c>
      <x:c r="B1" s="22"/>
      <x:c r="C1" s="22"/>
      <x:c r="D1" s="22"/>
      <x:c r="E1" s="22"/>
      <x:c r="F1" s="22"/>
      <x:c r="G1" s="22"/>
      <x:c r="H1" s="22"/>
      <x:c r="I1" s="22"/>
      <x:c r="J1" s="22"/>
      <x:c r="K1" s="22"/>
      <x:c r="L1" s="22"/>
    </x:row>
    <x:row r="2">
      <x:c r="A2" s="22"/>
      <x:c r="B2" s="22"/>
      <x:c r="C2" s="22"/>
      <x:c r="D2" s="22"/>
      <x:c r="E2" s="22"/>
      <x:c r="F2" s="22"/>
      <x:c r="G2" s="22"/>
      <x:c r="H2" s="22"/>
      <x:c r="I2" s="22"/>
      <x:c r="J2" s="22"/>
      <x:c r="K2" s="22"/>
      <x:c r="L2" s="22"/>
    </x:row>
    <x:row r="3">
      <x:c r="A3" s="28" t="str">
        <x:v>Identity, endpoint, vulnerability, access, and security-event overview | August 2026</x:v>
      </x:c>
      <x:c r="B3" s="28"/>
      <x:c r="C3" s="28"/>
      <x:c r="D3" s="28"/>
      <x:c r="E3" s="28"/>
      <x:c r="F3" s="28"/>
      <x:c r="G3" s="28"/>
      <x:c r="H3" s="28"/>
      <x:c r="I3" s="28"/>
      <x:c r="J3" s="28"/>
      <x:c r="K3" s="28"/>
      <x:c r="L3" s="28"/>
    </x:row>
    <x:row r="5">
      <x:c r="A5" s="36" t="str">
        <x:f>"Security Events"&amp;CHAR(10)&amp;TEXT(COUNTA('Security Events'!A2:A9),"0")</x:f>
        <x:v>Security Events
8</x:v>
      </x:c>
      <x:c r="B5" s="36"/>
      <x:c r="C5" s="36"/>
      <x:c r="D5" s="36" t="str">
        <x:f>"Critical / High"&amp;CHAR(10)&amp;TEXT(COUNTIF('Security Events'!D2:D9,"Critical")+COUNTIF('Security Events'!D2:D9,"High"),"0")</x:f>
        <x:v>Critical / High
5</x:v>
      </x:c>
      <x:c r="E5" s="36"/>
      <x:c r="F5" s="36"/>
      <x:c r="G5" s="36" t="str">
        <x:f>"Event Closure"&amp;CHAR(10)&amp;TEXT(COUNTIF('Security Events'!G2:G9,"Closed")/COUNTA('Security Events'!A2:A9),"0.0%")</x:f>
        <x:v>Event Closure
100.0%</x:v>
      </x:c>
      <x:c r="H5" s="36"/>
      <x:c r="I5" s="36"/>
      <x:c r="J5" s="36" t="str">
        <x:f>"Open Risks"&amp;CHAR(10)&amp;TEXT(COUNTIF('Risk Register'!H2:H6,"Open")+COUNTIF('Risk Register'!H2:H6,"In Progress"),"0")</x:f>
        <x:v>Open Risks
3</x:v>
      </x:c>
      <x:c r="K5" s="36"/>
      <x:c r="L5" s="36"/>
    </x:row>
    <x:row r="6">
      <x:c r="A6" s="36"/>
      <x:c r="B6" s="36"/>
      <x:c r="C6" s="36"/>
      <x:c r="D6" s="36"/>
      <x:c r="E6" s="36"/>
      <x:c r="F6" s="36"/>
      <x:c r="G6" s="36"/>
      <x:c r="H6" s="36"/>
      <x:c r="I6" s="36"/>
      <x:c r="J6" s="36"/>
      <x:c r="K6" s="36"/>
      <x:c r="L6" s="36"/>
    </x:row>
    <x:row r="7">
      <x:c r="A7" s="36"/>
      <x:c r="B7" s="36"/>
      <x:c r="C7" s="36"/>
      <x:c r="D7" s="36"/>
      <x:c r="E7" s="36"/>
      <x:c r="F7" s="36"/>
      <x:c r="G7" s="36"/>
      <x:c r="H7" s="36"/>
      <x:c r="I7" s="36"/>
      <x:c r="J7" s="36"/>
      <x:c r="K7" s="36"/>
      <x:c r="L7" s="36"/>
    </x:row>
    <x:row r="9">
      <x:c r="A9" s="36" t="str">
        <x:f>"MFA Registration"&amp;CHAR(10)&amp;TEXT('Endpoint Compliance'!D5,"0.0%")</x:f>
        <x:v>MFA Registration
96.0%</x:v>
      </x:c>
      <x:c r="B9" s="36"/>
      <x:c r="C9" s="36"/>
      <x:c r="D9" s="36" t="str">
        <x:f>"BitLocker Coverage"&amp;CHAR(10)&amp;TEXT('Endpoint Compliance'!D2,"0.0%")</x:f>
        <x:v>BitLocker Coverage
100.0%</x:v>
      </x:c>
      <x:c r="E9" s="36"/>
      <x:c r="F9" s="36"/>
      <x:c r="G9" s="36" t="str">
        <x:f>"Patch Compliance"&amp;CHAR(10)&amp;TEXT('Endpoint Compliance'!D4,"0.0%")</x:f>
        <x:v>Patch Compliance
95.8%</x:v>
      </x:c>
      <x:c r="H9" s="36"/>
      <x:c r="I9" s="36"/>
      <x:c r="J9" s="36" t="str">
        <x:f>"Local Admin Compliance"&amp;CHAR(10)&amp;TEXT('Endpoint Compliance'!D6,"0.0%")</x:f>
        <x:v>Local Admin Compliance
93.8%</x:v>
      </x:c>
      <x:c r="K9" s="36"/>
      <x:c r="L9" s="36"/>
    </x:row>
    <x:row r="10">
      <x:c r="A10" s="36"/>
      <x:c r="B10" s="36"/>
      <x:c r="C10" s="36"/>
      <x:c r="D10" s="36"/>
      <x:c r="E10" s="36"/>
      <x:c r="F10" s="36"/>
      <x:c r="G10" s="36"/>
      <x:c r="H10" s="36"/>
      <x:c r="I10" s="36"/>
      <x:c r="J10" s="36"/>
      <x:c r="K10" s="36"/>
      <x:c r="L10" s="36"/>
    </x:row>
    <x:row r="11">
      <x:c r="A11" s="36"/>
      <x:c r="B11" s="36"/>
      <x:c r="C11" s="36"/>
      <x:c r="D11" s="36"/>
      <x:c r="E11" s="36"/>
      <x:c r="F11" s="36"/>
      <x:c r="G11" s="36"/>
      <x:c r="H11" s="36"/>
      <x:c r="I11" s="36"/>
      <x:c r="J11" s="36"/>
      <x:c r="K11" s="36"/>
      <x:c r="L11" s="36"/>
    </x:row>
    <x:row r="13">
      <x:c r="A13" s="36" t="str">
        <x:f>"Defender Health"&amp;CHAR(10)&amp;TEXT('Endpoint Compliance'!D3,"0.0%")</x:f>
        <x:v>Defender Health
97.9%</x:v>
      </x:c>
      <x:c r="B13" s="36"/>
      <x:c r="C13" s="36"/>
      <x:c r="D13" s="36" t="str">
        <x:f>"Completed Access Reviews"&amp;CHAR(10)&amp;TEXT(COUNTA('Access Reviews'!A2:A5),"0")</x:f>
        <x:v>Completed Access Reviews
4</x:v>
      </x:c>
      <x:c r="E13" s="36"/>
      <x:c r="F13" s="36"/>
      <x:c r="G13" s="36" t="str">
        <x:f>"Closed Vulnerabilities"&amp;CHAR(10)&amp;TEXT(COUNTIF('Vulnerability Tracker'!G2:G6,"Closed"),"0")</x:f>
        <x:v>Closed Vulnerabilities
4</x:v>
      </x:c>
      <x:c r="H13" s="36"/>
      <x:c r="I13" s="36"/>
      <x:c r="J13" s="36" t="str">
        <x:f>"Open Vulnerabilities"&amp;CHAR(10)&amp;TEXT(COUNTIF('Vulnerability Tracker'!G2:G6,"In Progress"),"0")</x:f>
        <x:v>Open Vulnerabilities
1</x:v>
      </x:c>
      <x:c r="K13" s="36"/>
      <x:c r="L13" s="36"/>
    </x:row>
    <x:row r="14">
      <x:c r="A14" s="36"/>
      <x:c r="B14" s="36"/>
      <x:c r="C14" s="36"/>
      <x:c r="D14" s="36"/>
      <x:c r="E14" s="36"/>
      <x:c r="F14" s="36"/>
      <x:c r="G14" s="36"/>
      <x:c r="H14" s="36"/>
      <x:c r="I14" s="36"/>
      <x:c r="J14" s="36"/>
      <x:c r="K14" s="36"/>
      <x:c r="L14" s="36"/>
    </x:row>
    <x:row r="15">
      <x:c r="A15" s="36"/>
      <x:c r="B15" s="36"/>
      <x:c r="C15" s="36"/>
      <x:c r="D15" s="36"/>
      <x:c r="E15" s="36"/>
      <x:c r="F15" s="36"/>
      <x:c r="G15" s="36"/>
      <x:c r="H15" s="36"/>
      <x:c r="I15" s="36"/>
      <x:c r="J15" s="36"/>
      <x:c r="K15" s="36"/>
      <x:c r="L15" s="36"/>
    </x:row>
    <x:row r="18">
      <x:c r="A18" s="6" t="str">
        <x:v>Category</x:v>
      </x:c>
      <x:c r="B18" s="6" t="str">
        <x:v>Events</x:v>
      </x:c>
      <x:c r="D18" s="6" t="str">
        <x:v>Severity</x:v>
      </x:c>
      <x:c r="E18" s="6" t="str">
        <x:v>Events</x:v>
      </x:c>
      <x:c r="G18" s="6" t="str">
        <x:v>Control</x:v>
      </x:c>
      <x:c r="H18" s="6" t="str">
        <x:v>Compliance</x:v>
      </x:c>
      <x:c r="J18" s="6" t="str">
        <x:v>Vulnerability Severity</x:v>
      </x:c>
      <x:c r="K18" s="6" t="str">
        <x:v>Count</x:v>
      </x:c>
    </x:row>
    <x:row r="19">
      <x:c r="A19" t="str">
        <x:v>Phishing</x:v>
      </x:c>
      <x:c r="B19" t="n">
        <x:f>COUNTIF('Security Events'!C2:C9,A19)</x:f>
        <x:v>1</x:v>
      </x:c>
      <x:c r="D19" t="str">
        <x:v>Critical</x:v>
      </x:c>
      <x:c r="E19" t="n">
        <x:f>COUNTIF('Security Events'!D2:D9,D19)</x:f>
        <x:v>1</x:v>
      </x:c>
      <x:c r="G19" t="str">
        <x:v>BitLocker</x:v>
      </x:c>
      <x:c r="H19" s="18" t="n">
        <x:v>1</x:v>
      </x:c>
      <x:c r="J19" t="str">
        <x:v>Critical</x:v>
      </x:c>
      <x:c r="K19" t="n">
        <x:f>COUNTIF('Vulnerability Tracker'!C2:C6,J19)</x:f>
        <x:v>2</x:v>
      </x:c>
    </x:row>
    <x:row r="20">
      <x:c r="A20" t="str">
        <x:v>Malware</x:v>
      </x:c>
      <x:c r="B20" t="n">
        <x:f>COUNTIF('Security Events'!C2:C9,A20)</x:f>
        <x:v>1</x:v>
      </x:c>
      <x:c r="D20" t="str">
        <x:v>High</x:v>
      </x:c>
      <x:c r="E20" t="n">
        <x:f>COUNTIF('Security Events'!D2:D9,D20)</x:f>
        <x:v>4</x:v>
      </x:c>
      <x:c r="G20" t="str">
        <x:v>Defender</x:v>
      </x:c>
      <x:c r="H20" s="18" t="n">
        <x:v>0.979</x:v>
      </x:c>
      <x:c r="J20" t="str">
        <x:v>High</x:v>
      </x:c>
      <x:c r="K20" t="n">
        <x:f>COUNTIF('Vulnerability Tracker'!C2:C6,J20)</x:f>
        <x:v>1</x:v>
      </x:c>
    </x:row>
    <x:row r="21">
      <x:c r="A21" t="str">
        <x:v>Identity</x:v>
      </x:c>
      <x:c r="B21" t="n">
        <x:f>COUNTIF('Security Events'!C2:C9,A21)</x:f>
        <x:v>1</x:v>
      </x:c>
      <x:c r="D21" t="str">
        <x:v>Medium</x:v>
      </x:c>
      <x:c r="E21" t="n">
        <x:f>COUNTIF('Security Events'!D2:D9,D21)</x:f>
        <x:v>3</x:v>
      </x:c>
      <x:c r="G21" t="str">
        <x:v>Critical Patches</x:v>
      </x:c>
      <x:c r="H21" s="18" t="n">
        <x:v>0.958</x:v>
      </x:c>
      <x:c r="J21" t="str">
        <x:v>Medium</x:v>
      </x:c>
      <x:c r="K21" t="n">
        <x:f>COUNTIF('Vulnerability Tracker'!C2:C6,J21)</x:f>
        <x:v>2</x:v>
      </x:c>
    </x:row>
    <x:row r="22">
      <x:c r="A22" t="str">
        <x:v>Access Review</x:v>
      </x:c>
      <x:c r="B22" t="n">
        <x:f>COUNTIF('Security Events'!C2:C9,A22)</x:f>
        <x:v>1</x:v>
      </x:c>
      <x:c r="D22" t="str">
        <x:v>Low</x:v>
      </x:c>
      <x:c r="E22" t="n">
        <x:f>COUNTIF('Security Events'!D2:D9,D22)</x:f>
        <x:v>0</x:v>
      </x:c>
      <x:c r="G22" t="str">
        <x:v>MFA</x:v>
      </x:c>
      <x:c r="H22" s="18" t="n">
        <x:v>0.96</x:v>
      </x:c>
      <x:c r="J22" t="str">
        <x:v>Low</x:v>
      </x:c>
      <x:c r="K22" t="n">
        <x:f>COUNTIF('Vulnerability Tracker'!C2:C6,J22)</x:f>
        <x:v>0</x:v>
      </x:c>
    </x:row>
    <x:row r="23">
      <x:c r="A23" t="str">
        <x:v>Other</x:v>
      </x:c>
      <x:c r="B23" t="n">
        <x:f>COUNTA('Security Events'!A2:A9)-SUM(B19:B22)</x:f>
        <x:v>4</x:v>
      </x:c>
      <x:c r="G23" t="str">
        <x:v>Local Admin</x:v>
      </x:c>
      <x:c r="H23" s="18" t="n">
        <x:v>0.938</x:v>
      </x:c>
    </x:row>
    <x:row r="61">
      <x:c r="A61" s="6" t="str">
        <x:v>Management Summary</x:v>
      </x:c>
      <x:c r="B61" s="6"/>
      <x:c r="C61" s="6"/>
      <x:c r="D61" s="6"/>
      <x:c r="E61" s="6"/>
      <x:c r="F61" s="6"/>
      <x:c r="G61" s="6"/>
      <x:c r="H61" s="6"/>
      <x:c r="I61" s="6"/>
      <x:c r="J61" s="6"/>
      <x:c r="K61" s="6"/>
      <x:c r="L61" s="6"/>
    </x:row>
    <x:row r="62">
      <x:c r="A62" s="43" t="str">
        <x:v>Security operations closed all recorded events with documented outcomes. BitLocker, Defender, patch, MFA, and device compliance met target. The main control gap is local administrator compliance at 93.8%, with three endpoints requiring remediation. One medium firmware vulnerability remains in progress. Quarterly access reviews removed seven unnecessary access assignments, reducing identity and privilege risk.</x:v>
      </x:c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</x:row>
    <x:row r="63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</x:row>
    <x:row r="64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</x:row>
    <x:row r="65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</x:row>
    <x:row r="66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</x:row>
    <x:row r="67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</x:row>
    <x:row r="68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</x:row>
  </x:sheetData>
  <x:mergeCells>
    <x:mergeCell ref="A1:L2"/>
    <x:mergeCell ref="A3:L3"/>
    <x:mergeCell ref="A5:C7"/>
    <x:mergeCell ref="D5:F7"/>
    <x:mergeCell ref="G5:I7"/>
    <x:mergeCell ref="J5:L7"/>
    <x:mergeCell ref="A9:C11"/>
    <x:mergeCell ref="D9:F11"/>
    <x:mergeCell ref="G9:I11"/>
    <x:mergeCell ref="J9:L11"/>
    <x:mergeCell ref="A13:C15"/>
    <x:mergeCell ref="D13:F15"/>
    <x:mergeCell ref="G13:I15"/>
    <x:mergeCell ref="J13:L15"/>
    <x:mergeCell ref="A61:L61"/>
    <x:mergeCell ref="A62:L68"/>
  </x:mergeCells>
  <x:pageMargins left="0.7" right="0.7" top="0.75" bottom="0.75" header="0.3" footer="0.3"/>
  <x:drawing xmlns:r="http://schemas.openxmlformats.org/officeDocument/2006/relationships" r:id="Rb980bc5f226a458c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2" hidden="0" customWidth="1"/>
    <x:col min="5" max="5" width="20" hidden="0" customWidth="1"/>
    <x:col min="6" max="6" width="16" hidden="0" customWidth="1"/>
    <x:col min="7" max="7" width="12" hidden="0" customWidth="1"/>
    <x:col min="8" max="8" width="42" hidden="0" customWidth="1"/>
    <x:col min="9" max="9" width="44" hidden="0" customWidth="1"/>
    <x:col min="10" max="10" width="34" hidden="0" customWidth="1"/>
  </x:cols>
  <x:sheetData>
    <x:row r="1">
      <x:c r="A1" s="6" t="str">
        <x:v>Event ID</x:v>
      </x:c>
      <x:c r="B1" s="6" t="str">
        <x:v>Detected At</x:v>
      </x:c>
      <x:c r="C1" s="6" t="str">
        <x:v>Category</x:v>
      </x:c>
      <x:c r="D1" s="6" t="str">
        <x:v>Severity</x:v>
      </x:c>
      <x:c r="E1" s="6" t="str">
        <x:v>Owner</x:v>
      </x:c>
      <x:c r="F1" s="6" t="str">
        <x:v>Related Record</x:v>
      </x:c>
      <x:c r="G1" s="6" t="str">
        <x:v>Status</x:v>
      </x:c>
      <x:c r="H1" s="6" t="str">
        <x:v>Summary</x:v>
      </x:c>
      <x:c r="I1" s="6" t="str">
        <x:v>Response</x:v>
      </x:c>
      <x:c r="J1" s="6" t="str">
        <x:v>Outcome</x:v>
      </x:c>
    </x:row>
    <x:row r="2">
      <x:c r="A2" s="14" t="str">
        <x:v>SEC-2026-001</x:v>
      </x:c>
      <x:c r="B2" s="15" t="str">
        <x:v>2026-07-03 09:18</x:v>
      </x:c>
      <x:c r="C2" s="14" t="str">
        <x:v>Phishing</x:v>
      </x:c>
      <x:c r="D2" s="14" t="str">
        <x:v>High</x:v>
      </x:c>
      <x:c r="E2" s="14" t="str">
        <x:v>Jamie Christian II</x:v>
      </x:c>
      <x:c r="F2" s="14" t="str">
        <x:v>INC-2026-071</x:v>
      </x:c>
      <x:c r="G2" s="14" t="str">
        <x:v>Closed</x:v>
      </x:c>
      <x:c r="H2" s="14" t="str">
        <x:v>User reported suspicious Microsoft 365 login email</x:v>
      </x:c>
      <x:c r="I2" s="14" t="str">
        <x:v>Message quarantined; sender blocked; credentials reset</x:v>
      </x:c>
      <x:c r="J2" s="14" t="str">
        <x:v>No compromise confirmed</x:v>
      </x:c>
    </x:row>
    <x:row r="3">
      <x:c r="A3" s="14" t="str">
        <x:v>SEC-2026-002</x:v>
      </x:c>
      <x:c r="B3" s="15" t="str">
        <x:v>2026-07-11 13:26</x:v>
      </x:c>
      <x:c r="C3" s="14" t="str">
        <x:v>Malware</x:v>
      </x:c>
      <x:c r="D3" s="14" t="str">
        <x:v>Critical</x:v>
      </x:c>
      <x:c r="E3" s="14" t="str">
        <x:v>Jamie Christian II</x:v>
      </x:c>
      <x:c r="F3" s="14" t="str">
        <x:v>INC-2026-091</x:v>
      </x:c>
      <x:c r="G3" s="14" t="str">
        <x:v>Closed</x:v>
      </x:c>
      <x:c r="H3" s="14" t="str">
        <x:v>Defender detected malicious executable</x:v>
      </x:c>
      <x:c r="I3" s="14" t="str">
        <x:v>Endpoint isolated; file quarantined; full scan completed</x:v>
      </x:c>
      <x:c r="J3" s="14" t="str">
        <x:v>No persistence or lateral activity</x:v>
      </x:c>
    </x:row>
    <x:row r="4">
      <x:c r="A4" s="14" t="str">
        <x:v>SEC-2026-003</x:v>
      </x:c>
      <x:c r="B4" s="15" t="str">
        <x:v>2026-07-18 10:04</x:v>
      </x:c>
      <x:c r="C4" s="14" t="str">
        <x:v>MFA</x:v>
      </x:c>
      <x:c r="D4" s="14" t="str">
        <x:v>Medium</x:v>
      </x:c>
      <x:c r="E4" s="14" t="str">
        <x:v>Alex Morgan</x:v>
      </x:c>
      <x:c r="F4" s="14" t="str">
        <x:v>SR-2026-214</x:v>
      </x:c>
      <x:c r="G4" s="14" t="str">
        <x:v>Closed</x:v>
      </x:c>
      <x:c r="H4" s="14" t="str">
        <x:v>User unable to complete MFA after phone replacement</x:v>
      </x:c>
      <x:c r="I4" s="14" t="str">
        <x:v>Identity verified; old method removed; new method enrolled</x:v>
      </x:c>
      <x:c r="J4" s="14" t="str">
        <x:v>Access restored</x:v>
      </x:c>
    </x:row>
    <x:row r="5">
      <x:c r="A5" s="14" t="str">
        <x:v>SEC-2026-004</x:v>
      </x:c>
      <x:c r="B5" s="15" t="str">
        <x:v>2026-07-24 11:08</x:v>
      </x:c>
      <x:c r="C5" s="14" t="str">
        <x:v>Encryption</x:v>
      </x:c>
      <x:c r="D5" s="14" t="str">
        <x:v>High</x:v>
      </x:c>
      <x:c r="E5" s="14" t="str">
        <x:v>Taylor Reed</x:v>
      </x:c>
      <x:c r="F5" s="14" t="str">
        <x:v>INC-2026-109</x:v>
      </x:c>
      <x:c r="G5" s="14" t="str">
        <x:v>Closed</x:v>
      </x:c>
      <x:c r="H5" s="14" t="str">
        <x:v>BitLocker protection remained suspended after firmware update</x:v>
      </x:c>
      <x:c r="I5" s="14" t="str">
        <x:v>Protection resumed; recovery key escrow validated</x:v>
      </x:c>
      <x:c r="J5" s="14" t="str">
        <x:v>Endpoint compliant</x:v>
      </x:c>
    </x:row>
    <x:row r="6">
      <x:c r="A6" s="14" t="str">
        <x:v>SEC-2026-005</x:v>
      </x:c>
      <x:c r="B6" s="15" t="str">
        <x:v>2026-07-28 08:42</x:v>
      </x:c>
      <x:c r="C6" s="14" t="str">
        <x:v>Access Review</x:v>
      </x:c>
      <x:c r="D6" s="14" t="str">
        <x:v>Medium</x:v>
      </x:c>
      <x:c r="E6" s="14" t="str">
        <x:v>Jamie Christian II</x:v>
      </x:c>
      <x:c r="F6" s="14" t="str">
        <x:v>AUD-2026-017</x:v>
      </x:c>
      <x:c r="G6" s="14" t="str">
        <x:v>Closed</x:v>
      </x:c>
      <x:c r="H6" s="14" t="str">
        <x:v>Former contractor retained shared-folder group membership</x:v>
      </x:c>
      <x:c r="I6" s="14" t="str">
        <x:v>Membership removed; manager review completed</x:v>
      </x:c>
      <x:c r="J6" s="14" t="str">
        <x:v>Access corrected</x:v>
      </x:c>
    </x:row>
    <x:row r="7">
      <x:c r="A7" s="14" t="str">
        <x:v>SEC-2026-006</x:v>
      </x:c>
      <x:c r="B7" s="15" t="str">
        <x:v>2026-07-30 07:49</x:v>
      </x:c>
      <x:c r="C7" s="14" t="str">
        <x:v>Identity</x:v>
      </x:c>
      <x:c r="D7" s="14" t="str">
        <x:v>High</x:v>
      </x:c>
      <x:c r="E7" s="14" t="str">
        <x:v>Jamie Christian II</x:v>
      </x:c>
      <x:c r="F7" s="14" t="str">
        <x:v>INC-2026-123</x:v>
      </x:c>
      <x:c r="G7" s="14" t="str">
        <x:v>Closed</x:v>
      </x:c>
      <x:c r="H7" s="14" t="str">
        <x:v>Account lockouts exceeded baseline</x:v>
      </x:c>
      <x:c r="I7" s="14" t="str">
        <x:v>Stale scheduled-task credential removed</x:v>
      </x:c>
      <x:c r="J7" s="14" t="str">
        <x:v>No repeat lockouts</x:v>
      </x:c>
    </x:row>
    <x:row r="8">
      <x:c r="A8" s="14" t="str">
        <x:v>SEC-2026-007</x:v>
      </x:c>
      <x:c r="B8" s="15" t="str">
        <x:v>2026-08-01 14:20</x:v>
      </x:c>
      <x:c r="C8" s="14" t="str">
        <x:v>Vulnerability</x:v>
      </x:c>
      <x:c r="D8" s="14" t="str">
        <x:v>High</x:v>
      </x:c>
      <x:c r="E8" s="14" t="str">
        <x:v>Jordan Lee</x:v>
      </x:c>
      <x:c r="F8" s="14" t="str">
        <x:v>VUL-2026-044</x:v>
      </x:c>
      <x:c r="G8" s="14" t="str">
        <x:v>Closed</x:v>
      </x:c>
      <x:c r="H8" s="14" t="str">
        <x:v>Critical browser vulnerability found on 7 endpoints</x:v>
      </x:c>
      <x:c r="I8" s="14" t="str">
        <x:v>Emergency browser update deployed</x:v>
      </x:c>
      <x:c r="J8" s="14" t="str">
        <x:v>7 of 7 remediated</x:v>
      </x:c>
    </x:row>
    <x:row r="9">
      <x:c r="A9" s="14" t="str">
        <x:v>SEC-2026-008</x:v>
      </x:c>
      <x:c r="B9" s="15" t="str">
        <x:v>2026-08-03 16:12</x:v>
      </x:c>
      <x:c r="C9" s="14" t="str">
        <x:v>Privileged Access</x:v>
      </x:c>
      <x:c r="D9" s="14" t="str">
        <x:v>Medium</x:v>
      </x:c>
      <x:c r="E9" s="14" t="str">
        <x:v>Alex Morgan</x:v>
      </x:c>
      <x:c r="F9" s="14" t="str">
        <x:v>AUD-2026-021</x:v>
      </x:c>
      <x:c r="G9" s="14" t="str">
        <x:v>Closed</x:v>
      </x:c>
      <x:c r="H9" s="14" t="str">
        <x:v>Dormant local admin account detected</x:v>
      </x:c>
      <x:c r="I9" s="14" t="str">
        <x:v>Account disabled and password rotated</x:v>
      </x:c>
      <x:c r="J9" s="14" t="str">
        <x:v>Privileged access reduced</x:v>
      </x:c>
    </x:row>
  </x:sheetData>
  <x:pageMargins left="0.7" right="0.7" top="0.75" bottom="0.75" header="0.3" footer="0.3"/>
  <x:tableParts count="1">
    <x:tablePart xmlns:r="http://schemas.openxmlformats.org/officeDocument/2006/relationships" r:id="R864ec1ddd96744d3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4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</x:cols>
  <x:sheetData>
    <x:row r="1">
      <x:c r="A1" s="6" t="str">
        <x:v>Metric</x:v>
      </x:c>
      <x:c r="B1" s="6" t="str">
        <x:v>Compliant</x:v>
      </x:c>
      <x:c r="C1" s="6" t="str">
        <x:v>Total</x:v>
      </x:c>
      <x:c r="D1" s="6" t="str">
        <x:v>Rate</x:v>
      </x:c>
      <x:c r="E1" s="6" t="str">
        <x:v>Target</x:v>
      </x:c>
      <x:c r="F1" s="6" t="str">
        <x:v>Status</x:v>
      </x:c>
    </x:row>
    <x:row r="2">
      <x:c r="A2" t="str">
        <x:v>BitLocker Enabled</x:v>
      </x:c>
      <x:c r="B2" t="n">
        <x:v>48</x:v>
      </x:c>
      <x:c r="C2" t="n">
        <x:v>48</x:v>
      </x:c>
      <x:c r="D2" s="18" t="n">
        <x:v>1</x:v>
      </x:c>
      <x:c r="E2" s="18" t="n">
        <x:v>1</x:v>
      </x:c>
      <x:c r="F2" t="str">
        <x:v>Met</x:v>
      </x:c>
    </x:row>
    <x:row r="3">
      <x:c r="A3" t="str">
        <x:v>Microsoft Defender Healthy</x:v>
      </x:c>
      <x:c r="B3" t="n">
        <x:v>47</x:v>
      </x:c>
      <x:c r="C3" t="n">
        <x:v>48</x:v>
      </x:c>
      <x:c r="D3" s="18" t="n">
        <x:v>0.979</x:v>
      </x:c>
      <x:c r="E3" s="18" t="n">
        <x:v>0.95</x:v>
      </x:c>
      <x:c r="F3" t="str">
        <x:v>Met</x:v>
      </x:c>
    </x:row>
    <x:row r="4">
      <x:c r="A4" t="str">
        <x:v>Critical Patches Current</x:v>
      </x:c>
      <x:c r="B4" t="n">
        <x:v>46</x:v>
      </x:c>
      <x:c r="C4" t="n">
        <x:v>48</x:v>
      </x:c>
      <x:c r="D4" s="18" t="n">
        <x:v>0.958</x:v>
      </x:c>
      <x:c r="E4" s="18" t="n">
        <x:v>0.95</x:v>
      </x:c>
      <x:c r="F4" t="str">
        <x:v>Met</x:v>
      </x:c>
    </x:row>
    <x:row r="5">
      <x:c r="A5" t="str">
        <x:v>MFA Registered</x:v>
      </x:c>
      <x:c r="B5" t="n">
        <x:v>72</x:v>
      </x:c>
      <x:c r="C5" t="n">
        <x:v>75</x:v>
      </x:c>
      <x:c r="D5" s="18" t="n">
        <x:v>0.96</x:v>
      </x:c>
      <x:c r="E5" s="18" t="n">
        <x:v>0.95</x:v>
      </x:c>
      <x:c r="F5" t="str">
        <x:v>Met</x:v>
      </x:c>
    </x:row>
    <x:row r="6">
      <x:c r="A6" t="str">
        <x:v>Local Admin Standard Met</x:v>
      </x:c>
      <x:c r="B6" t="n">
        <x:v>45</x:v>
      </x:c>
      <x:c r="C6" t="n">
        <x:v>48</x:v>
      </x:c>
      <x:c r="D6" s="18" t="n">
        <x:v>0.938</x:v>
      </x:c>
      <x:c r="E6" s="18" t="n">
        <x:v>0.95</x:v>
      </x:c>
      <x:c r="F6" t="str">
        <x:v>Below Target</x:v>
      </x:c>
    </x:row>
    <x:row r="7">
      <x:c r="A7" t="str">
        <x:v>Device Compliance</x:v>
      </x:c>
      <x:c r="B7" t="n">
        <x:v>46</x:v>
      </x:c>
      <x:c r="C7" t="n">
        <x:v>48</x:v>
      </x:c>
      <x:c r="D7" s="18" t="n">
        <x:v>0.958</x:v>
      </x:c>
      <x:c r="E7" s="18" t="n">
        <x:v>0.95</x:v>
      </x:c>
      <x:c r="F7" t="str">
        <x:v>Met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6" hidden="0" customWidth="1"/>
    <x:col min="8" max="8" width="42" hidden="0" customWidth="1"/>
  </x:cols>
  <x:sheetData>
    <x:row r="1">
      <x:c r="A1" s="6" t="str">
        <x:v>Vulnerability ID</x:v>
      </x:c>
      <x:c r="B1" s="6" t="str">
        <x:v>Asset Scope</x:v>
      </x:c>
      <x:c r="C1" s="6" t="str">
        <x:v>Severity</x:v>
      </x:c>
      <x:c r="D1" s="6" t="str">
        <x:v>Detected</x:v>
      </x:c>
      <x:c r="E1" s="6" t="str">
        <x:v>Due Date</x:v>
      </x:c>
      <x:c r="F1" s="6" t="str">
        <x:v>Remediated</x:v>
      </x:c>
      <x:c r="G1" s="6" t="str">
        <x:v>Status</x:v>
      </x:c>
      <x:c r="H1" s="6" t="str">
        <x:v>Resolution</x:v>
      </x:c>
    </x:row>
    <x:row r="2">
      <x:c r="A2" s="14" t="str">
        <x:v>VUL-2026-041</x:v>
      </x:c>
      <x:c r="B2" s="14" t="str">
        <x:v>12 Windows endpoints</x:v>
      </x:c>
      <x:c r="C2" s="14" t="str">
        <x:v>High</x:v>
      </x:c>
      <x:c r="D2" s="14" t="str">
        <x:v>2026-07-08</x:v>
      </x:c>
      <x:c r="E2" s="14" t="str">
        <x:v>2026-07-15</x:v>
      </x:c>
      <x:c r="F2" s="14" t="str">
        <x:v>2026-07-13</x:v>
      </x:c>
      <x:c r="G2" s="14" t="str">
        <x:v>Closed</x:v>
      </x:c>
      <x:c r="H2" s="14" t="str">
        <x:v>July cumulative update deployed</x:v>
      </x:c>
    </x:row>
    <x:row r="3">
      <x:c r="A3" s="14" t="str">
        <x:v>VUL-2026-042</x:v>
      </x:c>
      <x:c r="B3" s="14" t="str">
        <x:v>3 Windows servers</x:v>
      </x:c>
      <x:c r="C3" s="14" t="str">
        <x:v>Critical</x:v>
      </x:c>
      <x:c r="D3" s="14" t="str">
        <x:v>2026-07-10</x:v>
      </x:c>
      <x:c r="E3" s="14" t="str">
        <x:v>2026-07-12</x:v>
      </x:c>
      <x:c r="F3" s="14" t="str">
        <x:v>2026-07-11</x:v>
      </x:c>
      <x:c r="G3" s="14" t="str">
        <x:v>Closed</x:v>
      </x:c>
      <x:c r="H3" s="14" t="str">
        <x:v>Emergency security update installed</x:v>
      </x:c>
    </x:row>
    <x:row r="4">
      <x:c r="A4" s="14" t="str">
        <x:v>VUL-2026-043</x:v>
      </x:c>
      <x:c r="B4" s="14" t="str">
        <x:v>8 Microsoft 365 users</x:v>
      </x:c>
      <x:c r="C4" s="14" t="str">
        <x:v>Medium</x:v>
      </x:c>
      <x:c r="D4" s="14" t="str">
        <x:v>2026-07-19</x:v>
      </x:c>
      <x:c r="E4" s="14" t="str">
        <x:v>2026-08-02</x:v>
      </x:c>
      <x:c r="F4" s="14" t="str">
        <x:v>2026-07-29</x:v>
      </x:c>
      <x:c r="G4" s="14" t="str">
        <x:v>Closed</x:v>
      </x:c>
      <x:c r="H4" s="14" t="str">
        <x:v>Legacy authentication disabled</x:v>
      </x:c>
    </x:row>
    <x:row r="5">
      <x:c r="A5" s="14" t="str">
        <x:v>VUL-2026-044</x:v>
      </x:c>
      <x:c r="B5" s="14" t="str">
        <x:v>7 browser installations</x:v>
      </x:c>
      <x:c r="C5" s="14" t="str">
        <x:v>Critical</x:v>
      </x:c>
      <x:c r="D5" s="14" t="str">
        <x:v>2026-08-01</x:v>
      </x:c>
      <x:c r="E5" s="14" t="str">
        <x:v>2026-08-03</x:v>
      </x:c>
      <x:c r="F5" s="14" t="str">
        <x:v>2026-08-02</x:v>
      </x:c>
      <x:c r="G5" s="14" t="str">
        <x:v>Closed</x:v>
      </x:c>
      <x:c r="H5" s="14" t="str">
        <x:v>Browser updated to approved release</x:v>
      </x:c>
    </x:row>
    <x:row r="6">
      <x:c r="A6" s="14" t="str">
        <x:v>VUL-2026-045</x:v>
      </x:c>
      <x:c r="B6" s="14" t="str">
        <x:v>5 laptops</x:v>
      </x:c>
      <x:c r="C6" s="14" t="str">
        <x:v>Medium</x:v>
      </x:c>
      <x:c r="D6" s="14" t="str">
        <x:v>2026-08-02</x:v>
      </x:c>
      <x:c r="E6" s="14" t="str">
        <x:v>2026-08-16</x:v>
      </x:c>
      <x:c r="F6" s="14" t="str"/>
      <x:c r="G6" s="14" t="str">
        <x:v>In Progress</x:v>
      </x:c>
      <x:c r="H6" s="14" t="str">
        <x:v>Firmware updates scheduled for maintenance window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32" hidden="0" customWidth="1"/>
    <x:col min="4" max="4" width="18" hidden="0" customWidth="1"/>
    <x:col min="5" max="5" width="14" hidden="0" customWidth="1"/>
    <x:col min="6" max="6" width="16" hidden="0" customWidth="1"/>
    <x:col min="7" max="7" width="24" hidden="0" customWidth="1"/>
    <x:col min="8" max="8" width="14" hidden="0" customWidth="1"/>
  </x:cols>
  <x:sheetData>
    <x:row r="1">
      <x:c r="A1" s="6" t="str">
        <x:v>Review ID</x:v>
      </x:c>
      <x:c r="B1" s="6" t="str">
        <x:v>Review Date</x:v>
      </x:c>
      <x:c r="C1" s="6" t="str">
        <x:v>Scope</x:v>
      </x:c>
      <x:c r="D1" s="6" t="str">
        <x:v>Accounts Reviewed</x:v>
      </x:c>
      <x:c r="E1" s="6" t="str">
        <x:v>Exceptions</x:v>
      </x:c>
      <x:c r="F1" s="6" t="str">
        <x:v>Removed Access</x:v>
      </x:c>
      <x:c r="G1" s="6" t="str">
        <x:v>Owner</x:v>
      </x:c>
      <x:c r="H1" s="6" t="str">
        <x:v>Status</x:v>
      </x:c>
    </x:row>
    <x:row r="2">
      <x:c r="A2" t="str">
        <x:v>ARV-2026-Q3-001</x:v>
      </x:c>
      <x:c r="B2" t="str">
        <x:v>2026-07-28</x:v>
      </x:c>
      <x:c r="C2" t="str">
        <x:v>Finance shared folders</x:v>
      </x:c>
      <x:c r="D2" t="n">
        <x:v>18</x:v>
      </x:c>
      <x:c r="E2" t="n">
        <x:v>1</x:v>
      </x:c>
      <x:c r="F2" t="n">
        <x:v>1</x:v>
      </x:c>
      <x:c r="G2" t="str">
        <x:v>Jamie Christian II</x:v>
      </x:c>
      <x:c r="H2" t="str">
        <x:v>Completed</x:v>
      </x:c>
    </x:row>
    <x:row r="3">
      <x:c r="A3" t="str">
        <x:v>ARV-2026-Q3-002</x:v>
      </x:c>
      <x:c r="B3" t="str">
        <x:v>2026-07-29</x:v>
      </x:c>
      <x:c r="C3" t="str">
        <x:v>Local administrator membership</x:v>
      </x:c>
      <x:c r="D3" t="n">
        <x:v>48</x:v>
      </x:c>
      <x:c r="E3" t="n">
        <x:v>3</x:v>
      </x:c>
      <x:c r="F3" t="n">
        <x:v>3</x:v>
      </x:c>
      <x:c r="G3" t="str">
        <x:v>Alex Morgan</x:v>
      </x:c>
      <x:c r="H3" t="str">
        <x:v>Completed</x:v>
      </x:c>
    </x:row>
    <x:row r="4">
      <x:c r="A4" t="str">
        <x:v>ARV-2026-Q3-003</x:v>
      </x:c>
      <x:c r="B4" t="str">
        <x:v>2026-07-30</x:v>
      </x:c>
      <x:c r="C4" t="str">
        <x:v>Microsoft 365 privileged roles</x:v>
      </x:c>
      <x:c r="D4" t="n">
        <x:v>12</x:v>
      </x:c>
      <x:c r="E4" t="n">
        <x:v>1</x:v>
      </x:c>
      <x:c r="F4" t="n">
        <x:v>1</x:v>
      </x:c>
      <x:c r="G4" t="str">
        <x:v>M365 Administrator</x:v>
      </x:c>
      <x:c r="H4" t="str">
        <x:v>Completed</x:v>
      </x:c>
    </x:row>
    <x:row r="5">
      <x:c r="A5" t="str">
        <x:v>ARV-2026-Q3-004</x:v>
      </x:c>
      <x:c r="B5" t="str">
        <x:v>2026-07-31</x:v>
      </x:c>
      <x:c r="C5" t="str">
        <x:v>VPN access groups</x:v>
      </x:c>
      <x:c r="D5" t="n">
        <x:v>34</x:v>
      </x:c>
      <x:c r="E5" t="n">
        <x:v>2</x:v>
      </x:c>
      <x:c r="F5" t="n">
        <x:v>2</x:v>
      </x:c>
      <x:c r="G5" t="str">
        <x:v>Infrastructure Manager</x:v>
      </x:c>
      <x:c r="H5" t="str">
        <x:v>Completed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14" hidden="0" customWidth="1"/>
    <x:col min="4" max="4" width="14" hidden="0" customWidth="1"/>
    <x:col min="5" max="5" width="14" hidden="0" customWidth="1"/>
    <x:col min="6" max="6" width="42" hidden="0" customWidth="1"/>
    <x:col min="7" max="7" width="24" hidden="0" customWidth="1"/>
    <x:col min="8" max="8" width="16" hidden="0" customWidth="1"/>
  </x:cols>
  <x:sheetData>
    <x:row r="1">
      <x:c r="A1" s="6" t="str">
        <x:v>Risk ID</x:v>
      </x:c>
      <x:c r="B1" s="6" t="str">
        <x:v>Risk</x:v>
      </x:c>
      <x:c r="C1" s="6" t="str">
        <x:v>Likelihood</x:v>
      </x:c>
      <x:c r="D1" s="6" t="str">
        <x:v>Impact</x:v>
      </x:c>
      <x:c r="E1" s="6" t="str">
        <x:v>Rating</x:v>
      </x:c>
      <x:c r="F1" s="6" t="str">
        <x:v>Treatment</x:v>
      </x:c>
      <x:c r="G1" s="6" t="str">
        <x:v>Owner</x:v>
      </x:c>
      <x:c r="H1" s="6" t="str">
        <x:v>Status</x:v>
      </x:c>
    </x:row>
    <x:row r="2">
      <x:c r="A2" s="14" t="str">
        <x:v>RSK-2026-001</x:v>
      </x:c>
      <x:c r="B2" s="14" t="str">
        <x:v>Three users not enrolled in MFA</x:v>
      </x:c>
      <x:c r="C2" s="14" t="str">
        <x:v>Medium</x:v>
      </x:c>
      <x:c r="D2" s="14" t="str">
        <x:v>High</x:v>
      </x:c>
      <x:c r="E2" s="14" t="str">
        <x:v>High</x:v>
      </x:c>
      <x:c r="F2" s="14" t="str">
        <x:v>Complete enrollment campaign by 2026-08-15</x:v>
      </x:c>
      <x:c r="G2" s="14" t="str">
        <x:v>M365 Administrator</x:v>
      </x:c>
      <x:c r="H2" s="14" t="str">
        <x:v>Open</x:v>
      </x:c>
    </x:row>
    <x:row r="3">
      <x:c r="A3" s="14" t="str">
        <x:v>RSK-2026-002</x:v>
      </x:c>
      <x:c r="B3" s="14" t="str">
        <x:v>Three endpoints exceed local admin standard</x:v>
      </x:c>
      <x:c r="C3" s="14" t="str">
        <x:v>Medium</x:v>
      </x:c>
      <x:c r="D3" s="14" t="str">
        <x:v>High</x:v>
      </x:c>
      <x:c r="E3" s="14" t="str">
        <x:v>High</x:v>
      </x:c>
      <x:c r="F3" s="14" t="str">
        <x:v>Remove unnecessary admin rights</x:v>
      </x:c>
      <x:c r="G3" s="14" t="str">
        <x:v>Desktop Support Lead</x:v>
      </x:c>
      <x:c r="H3" s="14" t="str">
        <x:v>In Progress</x:v>
      </x:c>
    </x:row>
    <x:row r="4">
      <x:c r="A4" s="14" t="str">
        <x:v>RSK-2026-003</x:v>
      </x:c>
      <x:c r="B4" s="14" t="str">
        <x:v>Five laptops pending firmware update</x:v>
      </x:c>
      <x:c r="C4" s="14" t="str">
        <x:v>Medium</x:v>
      </x:c>
      <x:c r="D4" s="14" t="str">
        <x:v>Medium</x:v>
      </x:c>
      <x:c r="E4" s="14" t="str">
        <x:v>Moderate</x:v>
      </x:c>
      <x:c r="F4" s="14" t="str">
        <x:v>Patch during approved maintenance window</x:v>
      </x:c>
      <x:c r="G4" s="14" t="str">
        <x:v>Systems Administrator</x:v>
      </x:c>
      <x:c r="H4" s="14" t="str">
        <x:v>In Progress</x:v>
      </x:c>
    </x:row>
    <x:row r="5">
      <x:c r="A5" s="14" t="str">
        <x:v>RSK-2026-004</x:v>
      </x:c>
      <x:c r="B5" s="14" t="str">
        <x:v>Phishing reporting relies on user awareness</x:v>
      </x:c>
      <x:c r="C5" s="14" t="str">
        <x:v>Medium</x:v>
      </x:c>
      <x:c r="D5" s="14" t="str">
        <x:v>High</x:v>
      </x:c>
      <x:c r="E5" s="14" t="str">
        <x:v>High</x:v>
      </x:c>
      <x:c r="F5" s="14" t="str">
        <x:v>Monthly simulation and report button training</x:v>
      </x:c>
      <x:c r="G5" s="14" t="str">
        <x:v>Security Awareness Lead</x:v>
      </x:c>
      <x:c r="H5" s="14" t="str">
        <x:v>Monitored</x:v>
      </x:c>
    </x:row>
    <x:row r="6">
      <x:c r="A6" s="14" t="str">
        <x:v>RSK-2026-005</x:v>
      </x:c>
      <x:c r="B6" s="14" t="str">
        <x:v>One dormant privileged account discovered</x:v>
      </x:c>
      <x:c r="C6" s="14" t="str">
        <x:v>Low</x:v>
      </x:c>
      <x:c r="D6" s="14" t="str">
        <x:v>High</x:v>
      </x:c>
      <x:c r="E6" s="14" t="str">
        <x:v>Moderate</x:v>
      </x:c>
      <x:c r="F6" s="14" t="str">
        <x:v>Quarterly privileged account review</x:v>
      </x:c>
      <x:c r="G6" s="14" t="str">
        <x:v>Identity Services Manager</x:v>
      </x:c>
      <x:c r="H6" s="14" t="str">
        <x:v>Reduced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2" hidden="0" customWidth="1"/>
    <x:col min="3" max="3" width="16" hidden="0" customWidth="1"/>
  </x:cols>
  <x:sheetData>
    <x:row r="1">
      <x:c r="A1" s="6" t="str">
        <x:v>KPI</x:v>
      </x:c>
      <x:c r="B1" s="6" t="str">
        <x:v>Definition</x:v>
      </x:c>
      <x:c r="C1" s="6" t="str">
        <x:v>Target</x:v>
      </x:c>
    </x:row>
    <x:row r="2">
      <x:c r="A2" s="14" t="str">
        <x:v>MFA Registration</x:v>
      </x:c>
      <x:c r="B2" s="14" t="str">
        <x:v>Users enrolled in approved MFA methods</x:v>
      </x:c>
      <x:c r="C2" s="14" t="str">
        <x:v>≥95%</x:v>
      </x:c>
    </x:row>
    <x:row r="3">
      <x:c r="A3" s="14" t="str">
        <x:v>BitLocker Coverage</x:v>
      </x:c>
      <x:c r="B3" s="14" t="str">
        <x:v>Managed Windows endpoints with protection enabled</x:v>
      </x:c>
      <x:c r="C3" s="14" t="str">
        <x:v>100%</x:v>
      </x:c>
    </x:row>
    <x:row r="4">
      <x:c r="A4" s="14" t="str">
        <x:v>Defender Health</x:v>
      </x:c>
      <x:c r="B4" s="14" t="str">
        <x:v>Endpoints reporting healthy Defender status</x:v>
      </x:c>
      <x:c r="C4" s="14" t="str">
        <x:v>≥95%</x:v>
      </x:c>
    </x:row>
    <x:row r="5">
      <x:c r="A5" s="14" t="str">
        <x:v>Critical Patch Compliance</x:v>
      </x:c>
      <x:c r="B5" s="14" t="str">
        <x:v>Endpoints current on critical updates</x:v>
      </x:c>
      <x:c r="C5" s="14" t="str">
        <x:v>≥95%</x:v>
      </x:c>
    </x:row>
    <x:row r="6">
      <x:c r="A6" s="14" t="str">
        <x:v>Local Admin Compliance</x:v>
      </x:c>
      <x:c r="B6" s="14" t="str">
        <x:v>Endpoints meeting least-privilege standard</x:v>
      </x:c>
      <x:c r="C6" s="14" t="str">
        <x:v>≥95%</x:v>
      </x:c>
    </x:row>
    <x:row r="7">
      <x:c r="A7" s="14" t="str">
        <x:v>Vulnerability Remediation</x:v>
      </x:c>
      <x:c r="B7" s="14" t="str">
        <x:v>High/critical findings remediated by due date</x:v>
      </x:c>
      <x:c r="C7" s="14" t="str">
        <x:v>≥95%</x:v>
      </x:c>
    </x:row>
    <x:row r="8">
      <x:c r="A8" s="14" t="str">
        <x:v>Access Review Completion</x:v>
      </x:c>
      <x:c r="B8" s="14" t="str">
        <x:v>Scheduled reviews completed</x:v>
      </x:c>
      <x:c r="C8" s="14" t="str">
        <x:v>100%</x:v>
      </x:c>
    </x:row>
    <x:row r="9">
      <x:c r="A9" s="14" t="str">
        <x:v>Security Event Closure</x:v>
      </x:c>
      <x:c r="B9" s="14" t="str">
        <x:v>Security events closed with evidence</x:v>
      </x:c>
      <x:c r="C9" s="14" t="str">
        <x:v>≥95%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2" hidden="0" customWidth="1"/>
    <x:col min="3" max="3" width="14" hidden="0" customWidth="1"/>
  </x:cols>
  <x:sheetData>
    <x:row r="1">
      <x:c r="A1" s="6" t="str">
        <x:v>Validation Check</x:v>
      </x:c>
      <x:c r="B1" s="6" t="str">
        <x:v>Expected</x:v>
      </x:c>
      <x:c r="C1" s="6" t="str">
        <x:v>Result</x:v>
      </x:c>
    </x:row>
    <x:row r="2">
      <x:c r="A2" t="str">
        <x:v>Unique security event IDs</x:v>
      </x:c>
      <x:c r="B2" t="str">
        <x:v>8 unique IDs</x:v>
      </x:c>
      <x:c r="C2" t="str">
        <x:v>PASS</x:v>
      </x:c>
    </x:row>
    <x:row r="3">
      <x:c r="A3" t="str">
        <x:v>All events have owners</x:v>
      </x:c>
      <x:c r="B3" t="str">
        <x:v>No blanks</x:v>
      </x:c>
      <x:c r="C3" t="str">
        <x:v>PASS</x:v>
      </x:c>
    </x:row>
    <x:row r="4">
      <x:c r="A4" t="str">
        <x:v>All closed events include outcomes</x:v>
      </x:c>
      <x:c r="B4" t="str">
        <x:v>100%</x:v>
      </x:c>
      <x:c r="C4" t="str">
        <x:v>PASS</x:v>
      </x:c>
    </x:row>
    <x:row r="5">
      <x:c r="A5" t="str">
        <x:v>Compliance metrics include targets</x:v>
      </x:c>
      <x:c r="B5" t="str">
        <x:v>6 controls</x:v>
      </x:c>
      <x:c r="C5" t="str">
        <x:v>PASS</x:v>
      </x:c>
    </x:row>
    <x:row r="6">
      <x:c r="A6" t="str">
        <x:v>Vulnerability due dates documented</x:v>
      </x:c>
      <x:c r="B6" t="str">
        <x:v>5 findings</x:v>
      </x:c>
      <x:c r="C6" t="str">
        <x:v>PASS</x:v>
      </x:c>
    </x:row>
    <x:row r="7">
      <x:c r="A7" t="str">
        <x:v>Access reviews completed</x:v>
      </x:c>
      <x:c r="B7" t="str">
        <x:v>4 reviews</x:v>
      </x:c>
      <x:c r="C7" t="str">
        <x:v>PASS</x:v>
      </x:c>
    </x:row>
    <x:row r="8">
      <x:c r="A8" t="str">
        <x:v>Dashboard KPI cards formula-driven</x:v>
      </x:c>
      <x:c r="B8" t="str">
        <x:v>No hardcoded KPI cards</x:v>
      </x:c>
      <x:c r="C8" t="str">
        <x:v>PASS</x:v>
      </x:c>
    </x:row>
    <x:row r="9">
      <x:c r="A9" t="str">
        <x:v>Charts linked to source ranges</x:v>
      </x:c>
      <x:c r="B9" t="str">
        <x:v>4 charts</x:v>
      </x:c>
      <x:c r="C9" t="str">
        <x:v>PASS</x:v>
      </x:c>
    </x:row>
    <x:row r="10">
      <x:c r="A10" t="str">
        <x:v>Simulated-data disclosure included</x:v>
      </x:c>
      <x:c r="B10" t="str">
        <x:v>README and reports</x:v>
      </x:c>
      <x:c r="C10" t="str">
        <x:v>PASS</x:v>
      </x:c>
    </x:row>
  </x:sheetData>
  <x:pageMargins left="0.7" right="0.7" top="0.75" bottom="0.75" header="0.3" footer="0.3"/>
</x:worksheet>
</file>