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88132c9b2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8ec7b816246b4d54"/>
    <x:sheet xmlns:r="http://schemas.openxmlformats.org/officeDocument/2006/relationships" name="Monthly Performance" sheetId="2" r:id="R53533218956d45f6"/>
    <x:sheet xmlns:r="http://schemas.openxmlformats.org/officeDocument/2006/relationships" name="Weekly Operations" sheetId="3" r:id="Rdc66963a5970406b"/>
    <x:sheet xmlns:r="http://schemas.openxmlformats.org/officeDocument/2006/relationships" name="Technician Performance" sheetId="4" r:id="R50dc5ae4722241dd"/>
    <x:sheet xmlns:r="http://schemas.openxmlformats.org/officeDocument/2006/relationships" name="Incident Trends" sheetId="5" r:id="R3f9e9fd12af6446d"/>
    <x:sheet xmlns:r="http://schemas.openxmlformats.org/officeDocument/2006/relationships" name="Change Performance" sheetId="6" r:id="R1b919287d47d49f3"/>
    <x:sheet xmlns:r="http://schemas.openxmlformats.org/officeDocument/2006/relationships" name="Asset Summary" sheetId="7" r:id="R5e7caf4bc63345b9"/>
    <x:sheet xmlns:r="http://schemas.openxmlformats.org/officeDocument/2006/relationships" name="Monitoring Summary" sheetId="8" r:id="Rd70be748d49047d4"/>
    <x:sheet xmlns:r="http://schemas.openxmlformats.org/officeDocument/2006/relationships" name="Improvement Register" sheetId="9" r:id="Rd2fd9077300141c7"/>
    <x:sheet xmlns:r="http://schemas.openxmlformats.org/officeDocument/2006/relationships" name="KPI Definitions" sheetId="10" r:id="R154f6d8823164020"/>
    <x:sheet xmlns:r="http://schemas.openxmlformats.org/officeDocument/2006/relationships" name="Validation" sheetId="11" r:id="R68ba486a6942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$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3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f499f44f64f2f" /><Relationship Type="http://schemas.openxmlformats.org/officeDocument/2006/relationships/theme" Target="/xl/theme/theme1.xml" Id="Ra9cc31cc87a24cf6" /><Relationship Type="http://schemas.microsoft.com/office/2022/11/relationships/FeaturePropertyBag" Target="/xl/featurePropertyBag/featurePropertyBag.xml" Id="R7d1ff8ab5a56466a" /><Relationship Type="http://schemas.openxmlformats.org/officeDocument/2006/relationships/sharedStrings" Target="/xl/sharedStrings.xml" Id="R5279e41d2f6c450d" /><Relationship Type="http://schemas.openxmlformats.org/officeDocument/2006/relationships/worksheet" Target="/xl/worksheets/sheet1.xml" Id="R8ec7b816246b4d54" /><Relationship Type="http://schemas.openxmlformats.org/officeDocument/2006/relationships/worksheet" Target="/xl/worksheets/sheet2.xml" Id="R53533218956d45f6" /><Relationship Type="http://schemas.openxmlformats.org/officeDocument/2006/relationships/worksheet" Target="/xl/worksheets/sheet3.xml" Id="Rdc66963a5970406b" /><Relationship Type="http://schemas.openxmlformats.org/officeDocument/2006/relationships/worksheet" Target="/xl/worksheets/sheet4.xml" Id="R50dc5ae4722241dd" /><Relationship Type="http://schemas.openxmlformats.org/officeDocument/2006/relationships/worksheet" Target="/xl/worksheets/sheet5.xml" Id="R3f9e9fd12af6446d" /><Relationship Type="http://schemas.openxmlformats.org/officeDocument/2006/relationships/worksheet" Target="/xl/worksheets/sheet6.xml" Id="R1b919287d47d49f3" /><Relationship Type="http://schemas.openxmlformats.org/officeDocument/2006/relationships/worksheet" Target="/xl/worksheets/sheet7.xml" Id="R5e7caf4bc63345b9" /><Relationship Type="http://schemas.openxmlformats.org/officeDocument/2006/relationships/worksheet" Target="/xl/worksheets/sheet8.xml" Id="Rd70be748d49047d4" /><Relationship Type="http://schemas.openxmlformats.org/officeDocument/2006/relationships/worksheet" Target="/xl/worksheets/sheet9.xml" Id="Rd2fd9077300141c7" /><Relationship Type="http://schemas.openxmlformats.org/officeDocument/2006/relationships/worksheet" Target="/xl/worksheets/sheet10.xml" Id="R154f6d8823164020" /><Relationship Type="http://schemas.openxmlformats.org/officeDocument/2006/relationships/worksheet" Target="/xl/worksheets/sheet11.xml" Id="R68ba486a694246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50feda07dc449b" /><Relationship Type="http://schemas.openxmlformats.org/officeDocument/2006/relationships/chart" Target="/xl/drawings/charts/chart2.xml" Id="Ra6f867cbca544689" /><Relationship Type="http://schemas.openxmlformats.org/officeDocument/2006/relationships/chart" Target="/xl/drawings/charts/chart3.xml" Id="Raee95f6c0a784a15" /><Relationship Type="http://schemas.openxmlformats.org/officeDocument/2006/relationships/chart" Target="/xl/drawings/charts/chart4.xml" Id="Rc13fb923817447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 Volume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Opened</c:v>
          </c:tx>
          <c:cat>
            <c:strRef>
              <c:f>'Executive Dashboard'!$A$19:$A$21</c:f>
              <c:strCache>
                <c:ptCount val="0"/>
              </c:strCache>
            </c:strRef>
          </c:cat>
          <c:val>
            <c:numRef>
              <c:f>'Executive Dashboard'!$B$19:$B$21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Resolved</c:v>
          </c:tx>
          <c:cat>
            <c:strRef>
              <c:f>'Executive Dashboard'!$A$19:$A$21</c:f>
              <c:strCache>
                <c:ptCount val="0"/>
              </c:strCache>
            </c:strRef>
          </c:cat>
          <c:val>
            <c:numRef>
              <c:f>'Executive Dashboard'!$C$19:$C$21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Resolved Tickets by Technician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Resolved</c:v>
          </c:tx>
          <c:cat>
            <c:strRef>
              <c:f>'Executive Dashboard'!$F$19:$F$22</c:f>
              <c:strCache>
                <c:ptCount val="0"/>
              </c:strCache>
            </c:strRef>
          </c:cat>
          <c:val>
            <c:numRef>
              <c:f>'Executive Dashboard'!$G$19:$G$22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Service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Opened</c:v>
          </c:tx>
          <c:cat>
            <c:strRef>
              <c:f>'Executive Dashboard'!$A$19:$A$21</c:f>
              <c:strCache>
                <c:ptCount val="0"/>
              </c:strCache>
            </c:strRef>
          </c:cat>
          <c:val>
            <c:numRef>
              <c:f>'Executive Dashboard'!$B$19:$B$21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Resolved</c:v>
          </c:tx>
          <c:cat>
            <c:strRef>
              <c:f>'Executive Dashboard'!$A$19:$A$21</c:f>
              <c:strCache>
                <c:ptCount val="0"/>
              </c:strCache>
            </c:strRef>
          </c:cat>
          <c:val>
            <c:numRef>
              <c:f>'Executive Dashboard'!$C$19:$C$21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SLA</c:v>
          </c:tx>
          <c:cat>
            <c:strRef>
              <c:f>'Executive Dashboard'!$A$19:$A$21</c:f>
              <c:strCache>
                <c:ptCount val="0"/>
              </c:strCache>
            </c:strRef>
          </c:cat>
          <c:val>
            <c:numRef>
              <c:f>'Executive Dashboard'!$D$19:$D$21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Operational Control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Result</c:v>
          </c:tx>
          <c:cat>
            <c:strRef>
              <c:f>'Executive Dashboard'!$I$19:$I$21</c:f>
              <c:strCache>
                <c:ptCount val="0"/>
              </c:strCache>
            </c:strRef>
          </c:cat>
          <c:val>
            <c:numRef>
              <c:f>'Executive Dashboard'!$J$19:$J$21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50feda07dc449b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f867cbca544689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e95f6c0a784a15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12</xdr:col>
      <xdr:colOff>0</xdr:colOff>
      <xdr:row>58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3fb923817447e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nthlyPerformanceTable" displayName="MonthlyPerformanceTable" ref="A1:J4" headerRowCount="1">
  <x:tableColumns count="10">
    <x:tableColumn id="1" name="Month"/>
    <x:tableColumn id="2" name="Tickets Opened"/>
    <x:tableColumn id="3" name="Tickets Resolved"/>
    <x:tableColumn id="4" name="SLA Attainment"/>
    <x:tableColumn id="5" name="FCR"/>
    <x:tableColumn id="6" name="Avg Resolution Hours"/>
    <x:tableColumn id="7" name="CSAT"/>
    <x:tableColumn id="8" name="Reopen Rate"/>
    <x:tableColumn id="9" name="Escalation Rate"/>
    <x:tableColumn id="10" name="KB Usage"/>
  </x:tableColumns>
  <x:tableStyleInfo name="TableStyleMedium2" showRowStripes="1"/>
</x:table>
</file>

<file path=xl/tables/table2.xml><?xml version="1.0" encoding="utf-8"?>
<x:table xmlns:x="http://schemas.openxmlformats.org/spreadsheetml/2006/main" id="2" name="WeeklyOperationsTable" displayName="WeeklyOperationsTable" ref="A1:G5" headerRowCount="1">
  <x:tableColumns count="7">
    <x:tableColumn id="1" name="Week"/>
    <x:tableColumn id="2" name="Opened"/>
    <x:tableColumn id="3" name="Resolved"/>
    <x:tableColumn id="4" name="SLA"/>
    <x:tableColumn id="5" name="Backlog End"/>
    <x:tableColumn id="6" name="P1/P2 Incidents"/>
    <x:tableColumn id="7" name="CSAT"/>
  </x:tableColumns>
  <x:tableStyleInfo name="TableStyleMedium2" showRowStripes="1"/>
</x:table>
</file>

<file path=xl/tables/table3.xml><?xml version="1.0" encoding="utf-8"?>
<x:table xmlns:x="http://schemas.openxmlformats.org/spreadsheetml/2006/main" id="3" name="TechnicianPerformanceTable" displayName="TechnicianPerformanceTable" ref="A1:H5" headerRowCount="1">
  <x:tableColumns count="8">
    <x:tableColumn id="1" name="Technician"/>
    <x:tableColumn id="2" name="Assigned Tickets"/>
    <x:tableColumn id="3" name="Resolved Tickets"/>
    <x:tableColumn id="4" name="SLA Attainment"/>
    <x:tableColumn id="5" name="FCR"/>
    <x:tableColumn id="6" name="Avg Resolution Hours"/>
    <x:tableColumn id="7" name="CSAT"/>
    <x:tableColumn id="8" name="Escalation Rate"/>
  </x:tableColumns>
  <x:tableStyleInfo name="TableStyleMedium2" showRowStripes="1"/>
</x:table>
</file>

<file path=xl/tables/table4.xml><?xml version="1.0" encoding="utf-8"?>
<x:table xmlns:x="http://schemas.openxmlformats.org/spreadsheetml/2006/main" id="4" name="IncidentTrendsTable" displayName="IncidentTrendsTable" ref="A1:G4" headerRowCount="1">
  <x:tableColumns count="7">
    <x:tableColumn id="1" name="Incident ID"/>
    <x:tableColumn id="2" name="Title"/>
    <x:tableColumn id="3" name="Priority"/>
    <x:tableColumn id="4" name="Duration Minutes"/>
    <x:tableColumn id="5" name="Users Affected"/>
    <x:tableColumn id="6" name="Within Target"/>
    <x:tableColumn id="7" name="Root Cause Category"/>
  </x:tableColumns>
  <x:tableStyleInfo name="TableStyleMedium2" showRowStripes="1"/>
</x:table>
</file>

<file path=xl/tables/table5.xml><?xml version="1.0" encoding="utf-8"?>
<x:table xmlns:x="http://schemas.openxmlformats.org/spreadsheetml/2006/main" id="5" name="ChangePerformanceTable" displayName="ChangePerformanceTable" ref="A1:F4" headerRowCount="1">
  <x:tableColumns count="6">
    <x:tableColumn id="1" name="Change ID"/>
    <x:tableColumn id="2" name="Type"/>
    <x:tableColumn id="3" name="Risk"/>
    <x:tableColumn id="4" name="Result"/>
    <x:tableColumn id="5" name="Rollback Used"/>
    <x:tableColumn id="6" name="Within Window"/>
  </x:tableColumns>
  <x:tableStyleInfo name="TableStyleMedium2" showRowStripes="1"/>
</x:table>
</file>

<file path=xl/tables/table6.xml><?xml version="1.0" encoding="utf-8"?>
<x:table xmlns:x="http://schemas.openxmlformats.org/spreadsheetml/2006/main" id="6" name="ImprovementRegisterTable" displayName="ImprovementRegisterTable" ref="A1:G7" headerRowCount="1">
  <x:tableColumns count="7">
    <x:tableColumn id="1" name="Improvement ID"/>
    <x:tableColumn id="2" name="Source"/>
    <x:tableColumn id="3" name="Action"/>
    <x:tableColumn id="4" name="Owner"/>
    <x:tableColumn id="5" name="Due Date"/>
    <x:tableColumn id="6" name="Status"/>
    <x:tableColumn id="7" name="Expected Benef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2b107626044b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91f3ab0dd04a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09d45c98654a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4d7d22be454a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4ce60a39914b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35f9ad0d0b4d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bc911ffa8aa04a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20" hidden="0" customWidth="1"/>
    <x:col min="8" max="8" width="14" hidden="0" customWidth="1"/>
    <x:col min="9" max="9" width="18" hidden="0" customWidth="1"/>
    <x:col min="10" max="10" width="14" hidden="0" customWidth="1"/>
    <x:col min="11" max="11" width="4" hidden="0" customWidth="1"/>
    <x:col min="12" max="12" width="4" hidden="0" customWidth="1"/>
  </x:cols>
  <x:sheetData>
    <x:row r="1">
      <x:c r="A1" s="22" t="str">
        <x:v>Enterprise Help Desk Executive Reporting Dashboard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>
      <x:c r="A3" s="28" t="str">
        <x:v>Executive service review | May–July 2026 | Simulated enterprise operations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5">
      <x:c r="A5" s="36" t="str">
        <x:f>"Tickets Opened"&amp;CHAR(10)&amp;TEXT(SUM('Monthly Performance'!B2:B4),"0")</x:f>
        <x:v>Tickets Opened
234</x:v>
      </x:c>
      <x:c r="B5" s="36"/>
      <x:c r="C5" s="36"/>
      <x:c r="D5" s="36" t="str">
        <x:f>"Tickets Resolved"&amp;CHAR(10)&amp;TEXT(SUM('Monthly Performance'!C2:C4),"0")</x:f>
        <x:v>Tickets Resolved
179</x:v>
      </x:c>
      <x:c r="E5" s="36"/>
      <x:c r="F5" s="36"/>
      <x:c r="G5" s="36" t="str">
        <x:f>"July SLA"&amp;CHAR(10)&amp;TEXT('Monthly Performance'!D4,"0.0%")</x:f>
        <x:v>July SLA
94.0%</x:v>
      </x:c>
      <x:c r="H5" s="36"/>
      <x:c r="I5" s="36"/>
      <x:c r="J5" s="36" t="str">
        <x:f>"July CSAT"&amp;CHAR(10)&amp;TEXT('Monthly Performance'!G4,"0.00")</x:f>
        <x:v>July CSAT
4.52</x:v>
      </x:c>
      <x:c r="K5" s="36"/>
      <x:c r="L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</x:row>
    <x:row r="9">
      <x:c r="A9" s="36" t="str">
        <x:f>"July FCR"&amp;CHAR(10)&amp;TEXT('Monthly Performance'!E4,"0.0%")</x:f>
        <x:v>July FCR
78.5%</x:v>
      </x:c>
      <x:c r="B9" s="36"/>
      <x:c r="C9" s="36"/>
      <x:c r="D9" s="36" t="str">
        <x:f>"July Avg Resolution"&amp;CHAR(10)&amp;TEXT('Monthly Performance'!F4,"0.00")</x:f>
        <x:v>July Avg Resolution
5.22</x:v>
      </x:c>
      <x:c r="E9" s="36"/>
      <x:c r="F9" s="36"/>
      <x:c r="G9" s="36" t="str">
        <x:f>"Change Success"&amp;CHAR(10)&amp;TEXT(COUNTIF('Change Performance'!D2:D4,"Successful")/COUNTA('Change Performance'!A2:A4),"0.0%")</x:f>
        <x:v>Change Success
100.0%</x:v>
      </x:c>
      <x:c r="H9" s="36"/>
      <x:c r="I9" s="36"/>
      <x:c r="J9" s="36" t="str">
        <x:f>"Alert Closure"&amp;CHAR(10)&amp;TEXT('Monitoring Summary'!B4,"0.0%")</x:f>
        <x:v>Alert Closure
100.0%</x:v>
      </x:c>
      <x:c r="K9" s="36"/>
      <x:c r="L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</x:row>
    <x:row r="13">
      <x:c r="A13" s="36" t="str">
        <x:f>"Open Audit Findings"&amp;CHAR(10)&amp;TEXT('Asset Summary'!B6,"0")</x:f>
        <x:v>Open Audit Findings
0</x:v>
      </x:c>
      <x:c r="B13" s="36"/>
      <x:c r="C13" s="36"/>
      <x:c r="D13" s="36" t="str">
        <x:f>"Major Incidents"&amp;CHAR(10)&amp;TEXT(COUNTA('Incident Trends'!A2:A4),"0")</x:f>
        <x:v>Major Incidents
3</x:v>
      </x:c>
      <x:c r="E13" s="36"/>
      <x:c r="F13" s="36"/>
      <x:c r="G13" s="36" t="str">
        <x:f>"Completed Improvements"&amp;CHAR(10)&amp;TEXT(COUNTIF('Improvement Register'!F2:F7,"Completed"),"0")</x:f>
        <x:v>Completed Improvements
4</x:v>
      </x:c>
      <x:c r="H13" s="36"/>
      <x:c r="I13" s="36"/>
      <x:c r="J13" s="36" t="str">
        <x:f>"Annual License Cost"&amp;CHAR(10)&amp;TEXT('Asset Summary'!B7,"$#,##0")</x:f>
        <x:v>Annual License Cost
$36,260</x:v>
      </x:c>
      <x:c r="K13" s="36"/>
      <x:c r="L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8">
      <x:c r="A18" s="6" t="str">
        <x:v>Month</x:v>
      </x:c>
      <x:c r="B18" s="6" t="str">
        <x:v>Opened</x:v>
      </x:c>
      <x:c r="C18" s="6" t="str">
        <x:v>Resolved</x:v>
      </x:c>
      <x:c r="D18" s="6" t="str">
        <x:v>SLA</x:v>
      </x:c>
      <x:c r="F18" s="6" t="str">
        <x:v>Technician</x:v>
      </x:c>
      <x:c r="G18" s="6" t="str">
        <x:v>Resolved</x:v>
      </x:c>
      <x:c r="I18" s="6" t="str">
        <x:v>Operational Area</x:v>
      </x:c>
      <x:c r="J18" s="6" t="str">
        <x:v>Result</x:v>
      </x:c>
    </x:row>
    <x:row r="19">
      <x:c r="A19" t="str">
        <x:v>2026-05</x:v>
      </x:c>
      <x:c r="B19" t="n">
        <x:v>72</x:v>
      </x:c>
      <x:c r="C19" t="n">
        <x:v>54</x:v>
      </x:c>
      <x:c r="D19" s="12" t="n">
        <x:v>0.889</x:v>
      </x:c>
      <x:c r="F19" t="str">
        <x:v>Jamie Christian II</x:v>
      </x:c>
      <x:c r="G19" t="n">
        <x:v>55</x:v>
      </x:c>
      <x:c r="I19" t="str">
        <x:v>Change Success</x:v>
      </x:c>
      <x:c r="J19" s="12" t="n">
        <x:v>1</x:v>
      </x:c>
    </x:row>
    <x:row r="20">
      <x:c r="A20" t="str">
        <x:v>2026-06</x:v>
      </x:c>
      <x:c r="B20" t="n">
        <x:v>78</x:v>
      </x:c>
      <x:c r="C20" t="n">
        <x:v>60</x:v>
      </x:c>
      <x:c r="D20" s="12" t="n">
        <x:v>0.923</x:v>
      </x:c>
      <x:c r="F20" t="str">
        <x:v>Alex Morgan</x:v>
      </x:c>
      <x:c r="G20" t="n">
        <x:v>46</x:v>
      </x:c>
      <x:c r="I20" t="str">
        <x:v>Alert Closure</x:v>
      </x:c>
      <x:c r="J20" s="12" t="n">
        <x:v>1</x:v>
      </x:c>
    </x:row>
    <x:row r="21">
      <x:c r="A21" t="str">
        <x:v>2026-07</x:v>
      </x:c>
      <x:c r="B21" t="n">
        <x:v>84</x:v>
      </x:c>
      <x:c r="C21" t="n">
        <x:v>65</x:v>
      </x:c>
      <x:c r="D21" s="12" t="n">
        <x:v>0.94</x:v>
      </x:c>
      <x:c r="F21" t="str">
        <x:v>Taylor Reed</x:v>
      </x:c>
      <x:c r="G21" t="n">
        <x:v>42</x:v>
      </x:c>
      <x:c r="I21" t="str">
        <x:v>Availability Target Met</x:v>
      </x:c>
      <x:c r="J21" s="12" t="n">
        <x:v>0.714</x:v>
      </x:c>
    </x:row>
    <x:row r="22">
      <x:c r="F22" t="str">
        <x:v>Jordan Lee</x:v>
      </x:c>
      <x:c r="G22" t="n">
        <x:v>36</x:v>
      </x:c>
    </x:row>
    <x:row r="60">
      <x:c r="A60" s="6" t="str">
        <x:v>Executive Assessment</x:v>
      </x:c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</x:row>
    <x:row r="61">
      <x:c r="A61" s="43" t="str">
        <x:v>Service desk performance improved across May through July. Ticket volume increased while SLA attainment rose to 94.0%, first-contact resolution reached 78.5%, average resolution time fell to 5.22 hours, and CSAT increased to 4.52. Change execution and alert closure remained at 100%. The main risks are VPN and Microsoft 365 availability, aged backlog, reopened tickets, and license optimization. Completed corrective actions reduced repeat incidents during the review period.</x:v>
      </x:c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</x:row>
  </x:sheetData>
  <x:mergeCells>
    <x:mergeCell ref="A1:L2"/>
    <x:mergeCell ref="A3:L3"/>
    <x:mergeCell ref="A5:C7"/>
    <x:mergeCell ref="D5:F7"/>
    <x:mergeCell ref="G5:I7"/>
    <x:mergeCell ref="J5:L7"/>
    <x:mergeCell ref="A9:C11"/>
    <x:mergeCell ref="D9:F11"/>
    <x:mergeCell ref="G9:I11"/>
    <x:mergeCell ref="J9:L11"/>
    <x:mergeCell ref="A13:C15"/>
    <x:mergeCell ref="D13:F15"/>
    <x:mergeCell ref="G13:I15"/>
    <x:mergeCell ref="J13:L15"/>
    <x:mergeCell ref="A60:L60"/>
    <x:mergeCell ref="A61:L67"/>
  </x:mergeCells>
  <x:pageMargins left="0.7" right="0.7" top="0.75" bottom="0.75" header="0.3" footer="0.3"/>
  <x:drawing xmlns:r="http://schemas.openxmlformats.org/officeDocument/2006/relationships" r:id="Re32b107626044b66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6" t="str">
        <x:v>Month</x:v>
      </x:c>
      <x:c r="B1" s="6" t="str">
        <x:v>Tickets Opened</x:v>
      </x:c>
      <x:c r="C1" s="6" t="str">
        <x:v>Tickets Resolved</x:v>
      </x:c>
      <x:c r="D1" s="6" t="str">
        <x:v>SLA Attainment</x:v>
      </x:c>
      <x:c r="E1" s="6" t="str">
        <x:v>FCR</x:v>
      </x:c>
      <x:c r="F1" s="6" t="str">
        <x:v>Avg Resolution Hours</x:v>
      </x:c>
      <x:c r="G1" s="6" t="str">
        <x:v>CSAT</x:v>
      </x:c>
      <x:c r="H1" s="6" t="str">
        <x:v>Reopen Rate</x:v>
      </x:c>
      <x:c r="I1" s="6" t="str">
        <x:v>Escalation Rate</x:v>
      </x:c>
      <x:c r="J1" s="6" t="str">
        <x:v>KB Usage</x:v>
      </x:c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2026-05</x:v>
      </x:c>
      <x:c r="B2" t="n">
        <x:v>72</x:v>
      </x:c>
      <x:c r="C2" t="n">
        <x:v>54</x:v>
      </x:c>
      <x:c r="D2" s="12" t="n">
        <x:v>0.889</x:v>
      </x:c>
      <x:c r="E2" s="12" t="n">
        <x:v>0.722</x:v>
      </x:c>
      <x:c r="F2" t="n">
        <x:v>6.42</x:v>
      </x:c>
      <x:c r="G2" s="14" t="n">
        <x:v>4.31</x:v>
      </x:c>
      <x:c r="H2" s="12" t="n">
        <x:v>0.093</x:v>
      </x:c>
      <x:c r="I2" s="12" t="n">
        <x:v>0.153</x:v>
      </x:c>
      <x:c r="J2" s="12" t="n">
        <x:v>0.514</x:v>
      </x:c>
    </x:row>
    <x:row r="3">
      <x:c r="A3" t="str">
        <x:v>2026-06</x:v>
      </x:c>
      <x:c r="B3" t="n">
        <x:v>78</x:v>
      </x:c>
      <x:c r="C3" t="n">
        <x:v>60</x:v>
      </x:c>
      <x:c r="D3" s="12" t="n">
        <x:v>0.923</x:v>
      </x:c>
      <x:c r="E3" s="12" t="n">
        <x:v>0.75</x:v>
      </x:c>
      <x:c r="F3" t="n">
        <x:v>5.84</x:v>
      </x:c>
      <x:c r="G3" s="14" t="n">
        <x:v>4.39</x:v>
      </x:c>
      <x:c r="H3" s="12" t="n">
        <x:v>0.083</x:v>
      </x:c>
      <x:c r="I3" s="12" t="n">
        <x:v>0.141</x:v>
      </x:c>
      <x:c r="J3" s="12" t="n">
        <x:v>0.577</x:v>
      </x:c>
    </x:row>
    <x:row r="4">
      <x:c r="A4" t="str">
        <x:v>2026-07</x:v>
      </x:c>
      <x:c r="B4" t="n">
        <x:v>84</x:v>
      </x:c>
      <x:c r="C4" t="n">
        <x:v>65</x:v>
      </x:c>
      <x:c r="D4" s="12" t="n">
        <x:v>0.94</x:v>
      </x:c>
      <x:c r="E4" s="12" t="n">
        <x:v>0.785</x:v>
      </x:c>
      <x:c r="F4" t="n">
        <x:v>5.22</x:v>
      </x:c>
      <x:c r="G4" s="14" t="n">
        <x:v>4.52</x:v>
      </x:c>
      <x:c r="H4" s="12" t="n">
        <x:v>0.062</x:v>
      </x:c>
      <x:c r="I4" s="12" t="n">
        <x:v>0.119</x:v>
      </x:c>
      <x:c r="J4" s="12" t="n">
        <x:v>0.631</x:v>
      </x:c>
    </x:row>
  </x:sheetData>
  <x:pageMargins left="0.7" right="0.7" top="0.75" bottom="0.75" header="0.3" footer="0.3"/>
  <x:tableParts count="1">
    <x:tablePart xmlns:r="http://schemas.openxmlformats.org/officeDocument/2006/relationships" r:id="R8f91f3ab0dd04a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2" hidden="0" customWidth="1"/>
  </x:cols>
  <x:sheetData>
    <x:row r="1">
      <x:c r="A1" s="6" t="str">
        <x:v>Week</x:v>
      </x:c>
      <x:c r="B1" s="6" t="str">
        <x:v>Opened</x:v>
      </x:c>
      <x:c r="C1" s="6" t="str">
        <x:v>Resolved</x:v>
      </x:c>
      <x:c r="D1" s="6" t="str">
        <x:v>SLA</x:v>
      </x:c>
      <x:c r="E1" s="6" t="str">
        <x:v>Backlog End</x:v>
      </x:c>
      <x:c r="F1" s="6" t="str">
        <x:v>P1/P2 Incidents</x:v>
      </x:c>
      <x:c r="G1" s="6" t="str">
        <x:v>CSAT</x:v>
      </x:c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2026-W27</x:v>
      </x:c>
      <x:c r="B2" t="n">
        <x:v>20</x:v>
      </x:c>
      <x:c r="C2" t="n">
        <x:v>18</x:v>
      </x:c>
      <x:c r="D2" s="12" t="n">
        <x:v>0.9</x:v>
      </x:c>
      <x:c r="E2" t="n">
        <x:v>13</x:v>
      </x:c>
      <x:c r="F2" t="n">
        <x:v>1</x:v>
      </x:c>
      <x:c r="G2" s="14" t="n">
        <x:v>4.42</x:v>
      </x:c>
    </x:row>
    <x:row r="3">
      <x:c r="A3" t="str">
        <x:v>2026-W28</x:v>
      </x:c>
      <x:c r="B3" t="n">
        <x:v>22</x:v>
      </x:c>
      <x:c r="C3" t="n">
        <x:v>21</x:v>
      </x:c>
      <x:c r="D3" s="12" t="n">
        <x:v>0.95</x:v>
      </x:c>
      <x:c r="E3" t="n">
        <x:v>14</x:v>
      </x:c>
      <x:c r="F3" t="n">
        <x:v>0</x:v>
      </x:c>
      <x:c r="G3" s="14" t="n">
        <x:v>4.55</x:v>
      </x:c>
    </x:row>
    <x:row r="4">
      <x:c r="A4" t="str">
        <x:v>2026-W29</x:v>
      </x:c>
      <x:c r="B4" t="n">
        <x:v>19</x:v>
      </x:c>
      <x:c r="C4" t="n">
        <x:v>20</x:v>
      </x:c>
      <x:c r="D4" s="12" t="n">
        <x:v>0.95</x:v>
      </x:c>
      <x:c r="E4" t="n">
        <x:v>13</x:v>
      </x:c>
      <x:c r="F4" t="n">
        <x:v>1</x:v>
      </x:c>
      <x:c r="G4" s="14" t="n">
        <x:v>4.5</x:v>
      </x:c>
    </x:row>
    <x:row r="5">
      <x:c r="A5" t="str">
        <x:v>2026-W30</x:v>
      </x:c>
      <x:c r="B5" t="n">
        <x:v>23</x:v>
      </x:c>
      <x:c r="C5" t="n">
        <x:v>22</x:v>
      </x:c>
      <x:c r="D5" s="12" t="n">
        <x:v>0.96</x:v>
      </x:c>
      <x:c r="E5" t="n">
        <x:v>14</x:v>
      </x:c>
      <x:c r="F5" t="n">
        <x:v>1</x:v>
      </x:c>
      <x:c r="G5" s="14" t="n">
        <x:v>4.61</x:v>
      </x:c>
    </x:row>
  </x:sheetData>
  <x:pageMargins left="0.7" right="0.7" top="0.75" bottom="0.75" header="0.3" footer="0.3"/>
  <x:tableParts count="1">
    <x:tablePart xmlns:r="http://schemas.openxmlformats.org/officeDocument/2006/relationships" r:id="R0d09d45c98654a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20" hidden="0" customWidth="1"/>
    <x:col min="7" max="7" width="12" hidden="0" customWidth="1"/>
    <x:col min="8" max="8" width="16" hidden="0" customWidth="1"/>
  </x:cols>
  <x:sheetData>
    <x:row r="1">
      <x:c r="A1" s="6" t="str">
        <x:v>Technician</x:v>
      </x:c>
      <x:c r="B1" s="6" t="str">
        <x:v>Assigned Tickets</x:v>
      </x:c>
      <x:c r="C1" s="6" t="str">
        <x:v>Resolved Tickets</x:v>
      </x:c>
      <x:c r="D1" s="6" t="str">
        <x:v>SLA Attainment</x:v>
      </x:c>
      <x:c r="E1" s="6" t="str">
        <x:v>FCR</x:v>
      </x:c>
      <x:c r="F1" s="6" t="str">
        <x:v>Avg Resolution Hours</x:v>
      </x:c>
      <x:c r="G1" s="6" t="str">
        <x:v>CSAT</x:v>
      </x:c>
      <x:c r="H1" s="6" t="str">
        <x:v>Escalation Rate</x:v>
      </x:c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Jamie Christian II</x:v>
      </x:c>
      <x:c r="B2" t="n">
        <x:v>68</x:v>
      </x:c>
      <x:c r="C2" t="n">
        <x:v>55</x:v>
      </x:c>
      <x:c r="D2" s="12" t="n">
        <x:v>0.945</x:v>
      </x:c>
      <x:c r="E2" s="12" t="n">
        <x:v>0.8</x:v>
      </x:c>
      <x:c r="F2" t="n">
        <x:v>4.82</x:v>
      </x:c>
      <x:c r="G2" s="14" t="n">
        <x:v>4.61</x:v>
      </x:c>
      <x:c r="H2" s="12" t="n">
        <x:v>0.103</x:v>
      </x:c>
    </x:row>
    <x:row r="3">
      <x:c r="A3" t="str">
        <x:v>Alex Morgan</x:v>
      </x:c>
      <x:c r="B3" t="n">
        <x:v>59</x:v>
      </x:c>
      <x:c r="C3" t="n">
        <x:v>46</x:v>
      </x:c>
      <x:c r="D3" s="12" t="n">
        <x:v>0.932</x:v>
      </x:c>
      <x:c r="E3" s="12" t="n">
        <x:v>0.761</x:v>
      </x:c>
      <x:c r="F3" t="n">
        <x:v>5.31</x:v>
      </x:c>
      <x:c r="G3" s="14" t="n">
        <x:v>4.48</x:v>
      </x:c>
      <x:c r="H3" s="12" t="n">
        <x:v>0.119</x:v>
      </x:c>
    </x:row>
    <x:row r="4">
      <x:c r="A4" t="str">
        <x:v>Taylor Reed</x:v>
      </x:c>
      <x:c r="B4" t="n">
        <x:v>54</x:v>
      </x:c>
      <x:c r="C4" t="n">
        <x:v>42</x:v>
      </x:c>
      <x:c r="D4" s="12" t="n">
        <x:v>0.926</x:v>
      </x:c>
      <x:c r="E4" s="12" t="n">
        <x:v>0.738</x:v>
      </x:c>
      <x:c r="F4" t="n">
        <x:v>5.67</x:v>
      </x:c>
      <x:c r="G4" s="14" t="n">
        <x:v>4.43</x:v>
      </x:c>
      <x:c r="H4" s="12" t="n">
        <x:v>0.13</x:v>
      </x:c>
    </x:row>
    <x:row r="5">
      <x:c r="A5" t="str">
        <x:v>Jordan Lee</x:v>
      </x:c>
      <x:c r="B5" t="n">
        <x:v>53</x:v>
      </x:c>
      <x:c r="C5" t="n">
        <x:v>36</x:v>
      </x:c>
      <x:c r="D5" s="12" t="n">
        <x:v>0.915</x:v>
      </x:c>
      <x:c r="E5" s="12" t="n">
        <x:v>0.706</x:v>
      </x:c>
      <x:c r="F5" t="n">
        <x:v>6.04</x:v>
      </x:c>
      <x:c r="G5" s="14" t="n">
        <x:v>4.36</x:v>
      </x:c>
      <x:c r="H5" s="12" t="n">
        <x:v>0.142</x:v>
      </x:c>
    </x:row>
  </x:sheetData>
  <x:pageMargins left="0.7" right="0.7" top="0.75" bottom="0.75" header="0.3" footer="0.3"/>
  <x:tableParts count="1">
    <x:tablePart xmlns:r="http://schemas.openxmlformats.org/officeDocument/2006/relationships" r:id="R6e4d7d22be454a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18" hidden="0" customWidth="1"/>
    <x:col min="5" max="5" width="16" hidden="0" customWidth="1"/>
    <x:col min="6" max="6" width="14" hidden="0" customWidth="1"/>
    <x:col min="7" max="7" width="24" hidden="0" customWidth="1"/>
  </x:cols>
  <x:sheetData>
    <x:row r="1">
      <x:c r="A1" s="6" t="str">
        <x:v>Incident ID</x:v>
      </x:c>
      <x:c r="B1" s="6" t="str">
        <x:v>Title</x:v>
      </x:c>
      <x:c r="C1" s="6" t="str">
        <x:v>Priority</x:v>
      </x:c>
      <x:c r="D1" s="6" t="str">
        <x:v>Duration Minutes</x:v>
      </x:c>
      <x:c r="E1" s="6" t="str">
        <x:v>Users Affected</x:v>
      </x:c>
      <x:c r="F1" s="6" t="str">
        <x:v>Within Target</x:v>
      </x:c>
      <x:c r="G1" s="6" t="str">
        <x:v>Root Cause Category</x:v>
      </x:c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INC-2026-104</x:v>
      </x:c>
      <x:c r="B2" t="str">
        <x:v>Remote VPN DNS Outage</x:v>
      </x:c>
      <x:c r="C2" t="str">
        <x:v>P1</x:v>
      </x:c>
      <x:c r="D2" t="n">
        <x:v>44</x:v>
      </x:c>
      <x:c r="E2" t="n">
        <x:v>18</x:v>
      </x:c>
      <x:c r="F2" s="16" t="b">
        <x:v>1</x:v>
      </x:c>
      <x:c r="G2" t="str">
        <x:v>Configuration</x:v>
      </x:c>
    </x:row>
    <x:row r="3">
      <x:c r="A3" t="str">
        <x:v>INC-2026-117</x:v>
      </x:c>
      <x:c r="B3" t="str">
        <x:v>Microsoft 365 Mail Disruption</x:v>
      </x:c>
      <x:c r="C3" t="str">
        <x:v>P2</x:v>
      </x:c>
      <x:c r="D3" t="n">
        <x:v>78</x:v>
      </x:c>
      <x:c r="E3" t="n">
        <x:v>26</x:v>
      </x:c>
      <x:c r="F3" s="16" t="b">
        <x:v>1</x:v>
      </x:c>
      <x:c r="G3" t="str">
        <x:v>Authentication</x:v>
      </x:c>
    </x:row>
    <x:row r="4">
      <x:c r="A4" t="str">
        <x:v>INC-2026-123</x:v>
      </x:c>
      <x:c r="B4" t="str">
        <x:v>Active Directory Authentication Failure</x:v>
      </x:c>
      <x:c r="C4" t="str">
        <x:v>P2</x:v>
      </x:c>
      <x:c r="D4" t="n">
        <x:v>80</x:v>
      </x:c>
      <x:c r="E4" t="n">
        <x:v>14</x:v>
      </x:c>
      <x:c r="F4" s="16" t="b">
        <x:v>1</x:v>
      </x:c>
      <x:c r="G4" t="str">
        <x:v>Credential Dependency</x:v>
      </x:c>
    </x:row>
  </x:sheetData>
  <x:pageMargins left="0.7" right="0.7" top="0.75" bottom="0.75" header="0.3" footer="0.3"/>
  <x:tableParts count="1">
    <x:tablePart xmlns:r="http://schemas.openxmlformats.org/officeDocument/2006/relationships" r:id="Rde4ce60a39914b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6" t="str">
        <x:v>Change ID</x:v>
      </x:c>
      <x:c r="B1" s="6" t="str">
        <x:v>Type</x:v>
      </x:c>
      <x:c r="C1" s="6" t="str">
        <x:v>Risk</x:v>
      </x:c>
      <x:c r="D1" s="6" t="str">
        <x:v>Result</x:v>
      </x:c>
      <x:c r="E1" s="6" t="str">
        <x:v>Rollback Used</x:v>
      </x:c>
      <x:c r="F1" s="6" t="str">
        <x:v>Within Window</x:v>
      </x:c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CHG-2026-014</x:v>
      </x:c>
      <x:c r="B2" t="str">
        <x:v>Normal</x:v>
      </x:c>
      <x:c r="C2" t="str">
        <x:v>Moderate</x:v>
      </x:c>
      <x:c r="D2" t="str">
        <x:v>Successful</x:v>
      </x:c>
      <x:c r="E2" s="16" t="b">
        <x:v>0</x:v>
      </x:c>
      <x:c r="F2" s="16" t="b">
        <x:v>1</x:v>
      </x:c>
    </x:row>
    <x:row r="3">
      <x:c r="A3" t="str">
        <x:v>CHG-2026-018</x:v>
      </x:c>
      <x:c r="B3" t="str">
        <x:v>Standard</x:v>
      </x:c>
      <x:c r="C3" t="str">
        <x:v>Low</x:v>
      </x:c>
      <x:c r="D3" t="str">
        <x:v>Successful</x:v>
      </x:c>
      <x:c r="E3" s="16" t="b">
        <x:v>0</x:v>
      </x:c>
      <x:c r="F3" s="16" t="b">
        <x:v>1</x:v>
      </x:c>
    </x:row>
    <x:row r="4">
      <x:c r="A4" t="str">
        <x:v>CHG-2026-021</x:v>
      </x:c>
      <x:c r="B4" t="str">
        <x:v>Emergency</x:v>
      </x:c>
      <x:c r="C4" t="str">
        <x:v>High</x:v>
      </x:c>
      <x:c r="D4" t="str">
        <x:v>Successful</x:v>
      </x:c>
      <x:c r="E4" s="16" t="b">
        <x:v>0</x:v>
      </x:c>
      <x:c r="F4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335f9ad0d0b4da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6" t="str">
        <x:v>Metric</x:v>
      </x:c>
      <x:c r="B1" s="6" t="str">
        <x:v>Value</x:v>
      </x:c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Total Assets</x:v>
      </x:c>
      <x:c r="B2" t="n">
        <x:v>15</x:v>
      </x:c>
    </x:row>
    <x:row r="3">
      <x:c r="A3" t="str">
        <x:v>Assigned Assets</x:v>
      </x:c>
      <x:c r="B3" t="n">
        <x:v>12</x:v>
      </x:c>
    </x:row>
    <x:row r="4">
      <x:c r="A4" t="str">
        <x:v>Encrypted Endpoints</x:v>
      </x:c>
      <x:c r="B4" s="12" t="n">
        <x:v>1</x:v>
      </x:c>
    </x:row>
    <x:row r="5">
      <x:c r="A5" t="str">
        <x:v>Healthy Security Status</x:v>
      </x:c>
      <x:c r="B5" s="12" t="n">
        <x:v>1</x:v>
      </x:c>
    </x:row>
    <x:row r="6">
      <x:c r="A6" t="str">
        <x:v>Open Audit Findings</x:v>
      </x:c>
      <x:c r="B6" t="n">
        <x:v>0</x:v>
      </x:c>
    </x:row>
    <x:row r="7">
      <x:c r="A7" t="str">
        <x:v>Annual License Cost</x:v>
      </x:c>
      <x:c r="B7" s="18" t="n">
        <x:v>36260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6" t="str">
        <x:v>Metric</x:v>
      </x:c>
      <x:c r="B1" s="6" t="str">
        <x:v>Value</x:v>
      </x:c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Total Alerts</x:v>
      </x:c>
      <x:c r="B2" t="n">
        <x:v>10</x:v>
      </x:c>
    </x:row>
    <x:row r="3">
      <x:c r="A3" t="str">
        <x:v>Critical / High Alerts</x:v>
      </x:c>
      <x:c r="B3" t="n">
        <x:v>8</x:v>
      </x:c>
    </x:row>
    <x:row r="4">
      <x:c r="A4" t="str">
        <x:v>Alert Closure Rate</x:v>
      </x:c>
      <x:c r="B4" s="12" t="n">
        <x:v>1</x:v>
      </x:c>
    </x:row>
    <x:row r="5">
      <x:c r="A5" t="str">
        <x:v>Open Alerts</x:v>
      </x:c>
      <x:c r="B5" t="n">
        <x:v>0</x:v>
      </x:c>
    </x:row>
    <x:row r="6">
      <x:c r="A6" t="str">
        <x:v>Services Meeting Availability Target</x:v>
      </x:c>
      <x:c r="B6" s="12" t="n">
        <x:v>0.714</x:v>
      </x:c>
    </x:row>
    <x:row r="7">
      <x:c r="A7" t="str">
        <x:v>Preventive Actions</x:v>
      </x:c>
      <x:c r="B7" t="n">
        <x:v>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4" hidden="0" customWidth="1"/>
    <x:col min="4" max="4" width="24" hidden="0" customWidth="1"/>
    <x:col min="5" max="5" width="14" hidden="0" customWidth="1"/>
    <x:col min="6" max="6" width="16" hidden="0" customWidth="1"/>
    <x:col min="7" max="7" width="34" hidden="0" customWidth="1"/>
  </x:cols>
  <x:sheetData>
    <x:row r="1">
      <x:c r="A1" s="6" t="str">
        <x:v>Improvement ID</x:v>
      </x:c>
      <x:c r="B1" s="6" t="str">
        <x:v>Source</x:v>
      </x:c>
      <x:c r="C1" s="6" t="str">
        <x:v>Action</x:v>
      </x:c>
      <x:c r="D1" s="6" t="str">
        <x:v>Owner</x:v>
      </x:c>
      <x:c r="E1" s="6" t="str">
        <x:v>Due Date</x:v>
      </x:c>
      <x:c r="F1" s="6" t="str">
        <x:v>Status</x:v>
      </x:c>
      <x:c r="G1" s="6" t="str">
        <x:v>Expected Benefit</x:v>
      </x:c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CSI-2026-001</x:v>
      </x:c>
      <x:c r="B2" t="str">
        <x:v>Ticket Trends</x:v>
      </x:c>
      <x:c r="C2" t="str">
        <x:v>Publish Outlook token refresh KB</x:v>
      </x:c>
      <x:c r="D2" t="str">
        <x:v>M365 Administrator</x:v>
      </x:c>
      <x:c r="E2" t="str">
        <x:v>2026-08-12</x:v>
      </x:c>
      <x:c r="F2" t="str">
        <x:v>Completed</x:v>
      </x:c>
      <x:c r="G2" t="str">
        <x:v>Reduce repeat Outlook incidents</x:v>
      </x:c>
    </x:row>
    <x:row r="3">
      <x:c r="A3" t="str">
        <x:v>CSI-2026-002</x:v>
      </x:c>
      <x:c r="B3" t="str">
        <x:v>Backlog Review</x:v>
      </x:c>
      <x:c r="C3" t="str">
        <x:v>Add daily aged-ticket review</x:v>
      </x:c>
      <x:c r="D3" t="str">
        <x:v>Service Desk Lead</x:v>
      </x:c>
      <x:c r="E3" t="str">
        <x:v>2026-08-10</x:v>
      </x:c>
      <x:c r="F3" t="str">
        <x:v>Completed</x:v>
      </x:c>
      <x:c r="G3" t="str">
        <x:v>Reduce tickets older than 72 hours</x:v>
      </x:c>
    </x:row>
    <x:row r="4">
      <x:c r="A4" t="str">
        <x:v>CSI-2026-003</x:v>
      </x:c>
      <x:c r="B4" t="str">
        <x:v>Monitoring</x:v>
      </x:c>
      <x:c r="C4" t="str">
        <x:v>Add certificate-expiry alerts</x:v>
      </x:c>
      <x:c r="D4" t="str">
        <x:v>Infrastructure Team</x:v>
      </x:c>
      <x:c r="E4" t="str">
        <x:v>2026-08-15</x:v>
      </x:c>
      <x:c r="F4" t="str">
        <x:v>Completed</x:v>
      </x:c>
      <x:c r="G4" t="str">
        <x:v>Prevent VPN certificate outages</x:v>
      </x:c>
    </x:row>
    <x:row r="5">
      <x:c r="A5" t="str">
        <x:v>CSI-2026-004</x:v>
      </x:c>
      <x:c r="B5" t="str">
        <x:v>Asset Management</x:v>
      </x:c>
      <x:c r="C5" t="str">
        <x:v>Reclaim unused software seats</x:v>
      </x:c>
      <x:c r="D5" t="str">
        <x:v>Asset Manager</x:v>
      </x:c>
      <x:c r="E5" t="str">
        <x:v>2026-08-31</x:v>
      </x:c>
      <x:c r="F5" t="str">
        <x:v>In Progress</x:v>
      </x:c>
      <x:c r="G5" t="str">
        <x:v>Lower annual license cost</x:v>
      </x:c>
    </x:row>
    <x:row r="6">
      <x:c r="A6" t="str">
        <x:v>CSI-2026-005</x:v>
      </x:c>
      <x:c r="B6" t="str">
        <x:v>Change Review</x:v>
      </x:c>
      <x:c r="C6" t="str">
        <x:v>Require VPN profile peer review</x:v>
      </x:c>
      <x:c r="D6" t="str">
        <x:v>Change Manager</x:v>
      </x:c>
      <x:c r="E6" t="str">
        <x:v>2026-08-05</x:v>
      </x:c>
      <x:c r="F6" t="str">
        <x:v>Completed</x:v>
      </x:c>
      <x:c r="G6" t="str">
        <x:v>Reduce configuration errors</x:v>
      </x:c>
    </x:row>
    <x:row r="7">
      <x:c r="A7" t="str">
        <x:v>CSI-2026-006</x:v>
      </x:c>
      <x:c r="B7" t="str">
        <x:v>Knowledge Management</x:v>
      </x:c>
      <x:c r="C7" t="str">
        <x:v>Measure KB-assisted resolution quality</x:v>
      </x:c>
      <x:c r="D7" t="str">
        <x:v>Service Desk Analyst</x:v>
      </x:c>
      <x:c r="E7" t="str">
        <x:v>2026-09-15</x:v>
      </x:c>
      <x:c r="F7" t="str">
        <x:v>Planned</x:v>
      </x:c>
      <x:c r="G7" t="str">
        <x:v>Improve FCR and consistency</x:v>
      </x:c>
    </x:row>
  </x:sheetData>
  <x:dataValidations count="1">
    <x:dataValidation type="list" sqref="F2:F7">
      <x:formula1>"Planned,In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911ffa8aa04a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36" hidden="0" customWidth="1"/>
    <x:col min="4" max="4" width="18" hidden="0" customWidth="1"/>
  </x:cols>
  <x:sheetData>
    <x:row r="1">
      <x:c r="A1" s="6" t="str">
        <x:v>KPI</x:v>
      </x:c>
      <x:c r="B1" s="6" t="str">
        <x:v>Definition</x:v>
      </x:c>
      <x:c r="C1" s="6" t="str">
        <x:v>Calculation</x:v>
      </x:c>
      <x:c r="D1" s="6" t="str">
        <x:v>Target</x:v>
      </x:c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SLA Attainment</x:v>
      </x:c>
      <x:c r="B2" t="str">
        <x:v>Percent of tickets meeting service targets</x:v>
      </x:c>
      <x:c r="C2" t="str">
        <x:v>Tickets meeting SLA / Total tickets</x:v>
      </x:c>
      <x:c r="D2" t="str">
        <x:v>≥ 90%</x:v>
      </x:c>
    </x:row>
    <x:row r="3">
      <x:c r="A3" t="str">
        <x:v>First Contact Resolution</x:v>
      </x:c>
      <x:c r="B3" t="str">
        <x:v>Percent resolved during first interaction</x:v>
      </x:c>
      <x:c r="C3" t="str">
        <x:v>FCR tickets / Resolved tickets</x:v>
      </x:c>
      <x:c r="D3" t="str">
        <x:v>≥ 70%</x:v>
      </x:c>
    </x:row>
    <x:row r="4">
      <x:c r="A4" t="str">
        <x:v>Average Resolution Time</x:v>
      </x:c>
      <x:c r="B4" t="str">
        <x:v>Average hours from open to resolution</x:v>
      </x:c>
      <x:c r="C4" t="str">
        <x:v>Sum resolution hours / Resolved tickets</x:v>
      </x:c>
      <x:c r="D4" t="str">
        <x:v>≤ 6 hours</x:v>
      </x:c>
    </x:row>
    <x:row r="5">
      <x:c r="A5" t="str">
        <x:v>CSAT</x:v>
      </x:c>
      <x:c r="B5" t="str">
        <x:v>Average customer satisfaction score</x:v>
      </x:c>
      <x:c r="C5" t="str">
        <x:v>Average survey score</x:v>
      </x:c>
      <x:c r="D5" t="str">
        <x:v>≥ 4.5 / 5</x:v>
      </x:c>
    </x:row>
    <x:row r="6">
      <x:c r="A6" t="str">
        <x:v>Reopen Rate</x:v>
      </x:c>
      <x:c r="B6" t="str">
        <x:v>Resolved tickets reopened</x:v>
      </x:c>
      <x:c r="C6" t="str">
        <x:v>Reopened / Resolved tickets</x:v>
      </x:c>
      <x:c r="D6" t="str">
        <x:v>≤ 8%</x:v>
      </x:c>
    </x:row>
    <x:row r="7">
      <x:c r="A7" t="str">
        <x:v>Escalation Rate</x:v>
      </x:c>
      <x:c r="B7" t="str">
        <x:v>Tickets moved to higher support tier</x:v>
      </x:c>
      <x:c r="C7" t="str">
        <x:v>Escalated / Total tickets</x:v>
      </x:c>
      <x:c r="D7" t="str">
        <x:v>≤ 15%</x:v>
      </x:c>
    </x:row>
    <x:row r="8">
      <x:c r="A8" t="str">
        <x:v>Change Success Rate</x:v>
      </x:c>
      <x:c r="B8" t="str">
        <x:v>Successful implemented changes</x:v>
      </x:c>
      <x:c r="C8" t="str">
        <x:v>Successful / Implemented</x:v>
      </x:c>
      <x:c r="D8" t="str">
        <x:v>≥ 95%</x:v>
      </x:c>
    </x:row>
    <x:row r="9">
      <x:c r="A9" t="str">
        <x:v>Availability</x:v>
      </x:c>
      <x:c r="B9" t="str">
        <x:v>Percent of scheduled service time available</x:v>
      </x:c>
      <x:c r="C9" t="str">
        <x:v>Available time / Scheduled time</x:v>
      </x:c>
      <x:c r="D9" t="str">
        <x:v>≥ 99.90%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4" hidden="0" customWidth="1"/>
  </x:cols>
  <x:sheetData>
    <x:row r="1">
      <x:c r="A1" s="6" t="str">
        <x:v>Validation Check</x:v>
      </x:c>
      <x:c r="B1" s="6" t="str">
        <x:v>Expected</x:v>
      </x:c>
      <x:c r="C1" s="6" t="str">
        <x:v>Result</x:v>
      </x:c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t="str">
        <x:v>Monthly periods included</x:v>
      </x:c>
      <x:c r="B2" t="str">
        <x:v>May, June, July 2026</x:v>
      </x:c>
      <x:c r="C2" t="str">
        <x:v>PASS</x:v>
      </x:c>
    </x:row>
    <x:row r="3">
      <x:c r="A3" t="str">
        <x:v>Executive KPI cards formula-driven</x:v>
      </x:c>
      <x:c r="B3" t="str">
        <x:v>No hardcoded dashboard KPIs</x:v>
      </x:c>
      <x:c r="C3" t="str">
        <x:v>PASS</x:v>
      </x:c>
    </x:row>
    <x:row r="4">
      <x:c r="A4" t="str">
        <x:v>Ticket totals reconcile</x:v>
      </x:c>
      <x:c r="B4" t="str">
        <x:v>234 opened / 179 resolved</x:v>
      </x:c>
      <x:c r="C4" t="str">
        <x:v>PASS</x:v>
      </x:c>
    </x:row>
    <x:row r="5">
      <x:c r="A5" t="str">
        <x:v>Change success calculation</x:v>
      </x:c>
      <x:c r="B5" t="str">
        <x:v>3 of 3 successful</x:v>
      </x:c>
      <x:c r="C5" t="str">
        <x:v>PASS</x:v>
      </x:c>
    </x:row>
    <x:row r="6">
      <x:c r="A6" t="str">
        <x:v>Alert closure calculation</x:v>
      </x:c>
      <x:c r="B6" t="str">
        <x:v>100%</x:v>
      </x:c>
      <x:c r="C6" t="str">
        <x:v>PASS</x:v>
      </x:c>
    </x:row>
    <x:row r="7">
      <x:c r="A7" t="str">
        <x:v>Improvement register fully populated</x:v>
      </x:c>
      <x:c r="B7" t="str">
        <x:v>6 actions</x:v>
      </x:c>
      <x:c r="C7" t="str">
        <x:v>PASS</x:v>
      </x:c>
    </x:row>
    <x:row r="8">
      <x:c r="A8" t="str">
        <x:v>Charts linked to source ranges</x:v>
      </x:c>
      <x:c r="B8" t="str">
        <x:v>4 executive charts</x:v>
      </x:c>
      <x:c r="C8" t="str">
        <x:v>PASS</x:v>
      </x:c>
    </x:row>
    <x:row r="9">
      <x:c r="A9" t="str">
        <x:v>Simulated-data disclosure included</x:v>
      </x:c>
      <x:c r="B9" t="str">
        <x:v>README and reports</x:v>
      </x:c>
      <x:c r="C9" t="str">
        <x:v>PASS</x:v>
      </x:c>
    </x:row>
  </x:sheetData>
  <x:pageMargins left="0.7" right="0.7" top="0.75" bottom="0.75" header="0.3" footer="0.3"/>
</x:worksheet>
</file>