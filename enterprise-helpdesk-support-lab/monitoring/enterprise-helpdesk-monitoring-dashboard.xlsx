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2c1d5bc2f048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nitoring Dashboard" sheetId="1" r:id="R0e243643e65e4f33"/>
    <x:sheet xmlns:r="http://schemas.openxmlformats.org/officeDocument/2006/relationships" name="Alert Register" sheetId="2" r:id="R3eeffac563284b42"/>
    <x:sheet xmlns:r="http://schemas.openxmlformats.org/officeDocument/2006/relationships" name="Service Health" sheetId="3" r:id="R0a2179dcca064b37"/>
    <x:sheet xmlns:r="http://schemas.openxmlformats.org/officeDocument/2006/relationships" name="Alert Catalog" sheetId="4" r:id="R3739ef96ea944028"/>
    <x:sheet xmlns:r="http://schemas.openxmlformats.org/officeDocument/2006/relationships" name="Routing Matrix" sheetId="5" r:id="R0308868aa4e648de"/>
    <x:sheet xmlns:r="http://schemas.openxmlformats.org/officeDocument/2006/relationships" name="Validation" sheetId="6" r:id="R89358cc19b824c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"/>
    <x:numFmt numFmtId="201" formatCode="0.00%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20"/>
      <x:color rgb="FFFFFFFF"/>
      <x:name val="Carlito"/>
    </x:font>
    <x:font>
      <x:i/>
      <x:sz val="11"/>
      <x:color rgb="FF334155"/>
      <x:name val="Carlito"/>
    </x:font>
    <x:font>
      <x:b/>
      <x:sz val="13"/>
      <x:color rgb="FF0F172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2E8F0"/>
      </x:patternFill>
    </x:fill>
    <x:fill>
      <x:patternFill patternType="solid">
        <x:fgColor rgb="FFF8FAFC"/>
      </x:patternFill>
    </x:fill>
    <x:fill>
      <x:patternFill patternType="solid">
        <x:fgColor rgb="FF334155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48ddc98cea4a0d" /><Relationship Type="http://schemas.openxmlformats.org/officeDocument/2006/relationships/theme" Target="/xl/theme/theme1.xml" Id="Ree62714036a446b6" /><Relationship Type="http://schemas.openxmlformats.org/officeDocument/2006/relationships/sharedStrings" Target="/xl/sharedStrings.xml" Id="Rb3736a9a64b14d51" /><Relationship Type="http://schemas.openxmlformats.org/officeDocument/2006/relationships/worksheet" Target="/xl/worksheets/sheet1.xml" Id="R0e243643e65e4f33" /><Relationship Type="http://schemas.openxmlformats.org/officeDocument/2006/relationships/worksheet" Target="/xl/worksheets/sheet2.xml" Id="R3eeffac563284b42" /><Relationship Type="http://schemas.openxmlformats.org/officeDocument/2006/relationships/worksheet" Target="/xl/worksheets/sheet3.xml" Id="R0a2179dcca064b37" /><Relationship Type="http://schemas.openxmlformats.org/officeDocument/2006/relationships/worksheet" Target="/xl/worksheets/sheet4.xml" Id="R3739ef96ea944028" /><Relationship Type="http://schemas.openxmlformats.org/officeDocument/2006/relationships/worksheet" Target="/xl/worksheets/sheet5.xml" Id="R0308868aa4e648de" /><Relationship Type="http://schemas.openxmlformats.org/officeDocument/2006/relationships/worksheet" Target="/xl/worksheets/sheet6.xml" Id="R89358cc19b824c4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f4549bddaff4026" /><Relationship Type="http://schemas.openxmlformats.org/officeDocument/2006/relationships/chart" Target="/xl/drawings/charts/chart2.xml" Id="R8ecafe45354e40a8" /><Relationship Type="http://schemas.openxmlformats.org/officeDocument/2006/relationships/chart" Target="/xl/drawings/charts/chart3.xml" Id="R2ef36285f5004ed1" /><Relationship Type="http://schemas.openxmlformats.org/officeDocument/2006/relationships/chart" Target="/xl/drawings/charts/chart4.xml" Id="Rf3958d80568a419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Alerts by Severity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'Monitoring Dashboard'!$A$15:$A$18</c:f>
              <c:strCache>
                <c:ptCount val="0"/>
              </c:strCache>
            </c:strRef>
          </c:cat>
          <c:val>
            <c:numRef>
              <c:f>'Monitoring Dashboard'!$B$15:$B$18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Alerts by Domain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'Monitoring Dashboard'!$D$15:$D$20</c:f>
              <c:strCache>
                <c:ptCount val="0"/>
              </c:strCache>
            </c:strRef>
          </c:cat>
          <c:val>
            <c:numRef>
              <c:f>'Monitoring Dashboard'!$E$15:$E$20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Service Availability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Availability</c:v>
          </c:tx>
          <c:cat>
            <c:strRef>
              <c:f>'Monitoring Dashboard'!$G$15:$G$20</c:f>
              <c:strCache>
                <c:ptCount val="0"/>
              </c:strCache>
            </c:strRef>
          </c:cat>
          <c:val>
            <c:numRef>
              <c:f>'Monitoring Dashboard'!$H$15:$H$20</c:f>
              <c:numCache>
                <c:formatCode>0.00%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Alert Ownership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Alerts</c:v>
          </c:tx>
          <c:cat>
            <c:strRef>
              <c:f>'Monitoring Dashboard'!$J$15:$J$18</c:f>
              <c:strCache>
                <c:ptCount val="0"/>
              </c:strCache>
            </c:strRef>
          </c:cat>
          <c:val>
            <c:numRef>
              <c:f>'Monitoring Dashboard'!$K$15:$K$18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6</xdr:col>
      <xdr:colOff>0</xdr:colOff>
      <xdr:row>38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f4549bddaff4026"/>
        </a:graphicData>
      </a:graphic>
    </xdr:graphicFrame>
    <xdr:clientData/>
  </xdr:twoCellAnchor>
  <xdr:twoCellAnchor>
    <xdr:from>
      <xdr:col>6</xdr:col>
      <xdr:colOff>0</xdr:colOff>
      <xdr:row>21</xdr:row>
      <xdr:rowOff>0</xdr:rowOff>
    </xdr:from>
    <xdr:to>
      <xdr:col>12</xdr:col>
      <xdr:colOff>0</xdr:colOff>
      <xdr:row>38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ecafe45354e40a8"/>
        </a:graphicData>
      </a:graphic>
    </xdr:graphicFrame>
    <xdr:clientData/>
  </xdr:twoCellAnchor>
  <xdr:twoCellAnchor>
    <xdr:from>
      <xdr:col>0</xdr:col>
      <xdr:colOff>0</xdr:colOff>
      <xdr:row>39</xdr:row>
      <xdr:rowOff>0</xdr:rowOff>
    </xdr:from>
    <xdr:to>
      <xdr:col>6</xdr:col>
      <xdr:colOff>0</xdr:colOff>
      <xdr:row>56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ef36285f5004ed1"/>
        </a:graphicData>
      </a:graphic>
    </xdr:graphicFrame>
    <xdr:clientData/>
  </xdr:twoCellAnchor>
  <xdr:twoCellAnchor>
    <xdr:from>
      <xdr:col>6</xdr:col>
      <xdr:colOff>0</xdr:colOff>
      <xdr:row>39</xdr:row>
      <xdr:rowOff>0</xdr:rowOff>
    </xdr:from>
    <xdr:to>
      <xdr:col>12</xdr:col>
      <xdr:colOff>0</xdr:colOff>
      <xdr:row>56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3958d80568a419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lertRegisterTable" displayName="AlertRegisterTable" ref="A1:M11" headerRowCount="1">
  <x:tableColumns count="13">
    <x:tableColumn id="1" name="Alert ID"/>
    <x:tableColumn id="2" name="Detected At"/>
    <x:tableColumn id="3" name="Domain"/>
    <x:tableColumn id="4" name="Configuration Item"/>
    <x:tableColumn id="5" name="Alert"/>
    <x:tableColumn id="6" name="Severity"/>
    <x:tableColumn id="7" name="Source"/>
    <x:tableColumn id="8" name="Owner"/>
    <x:tableColumn id="9" name="Related Incident"/>
    <x:tableColumn id="10" name="Closed At"/>
    <x:tableColumn id="11" name="Status"/>
    <x:tableColumn id="12" name="Resolution"/>
    <x:tableColumn id="13" name="Preventive Ac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9d0b3e28215459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437d90b55c84122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4" hidden="0" customWidth="1"/>
    <x:col min="4" max="4" width="18" hidden="0" customWidth="1"/>
    <x:col min="5" max="5" width="14" hidden="0" customWidth="1"/>
    <x:col min="6" max="6" width="4" hidden="0" customWidth="1"/>
    <x:col min="7" max="7" width="22" hidden="0" customWidth="1"/>
    <x:col min="8" max="8" width="14" hidden="0" customWidth="1"/>
    <x:col min="9" max="9" width="4" hidden="0" customWidth="1"/>
    <x:col min="10" max="10" width="18" hidden="0" customWidth="1"/>
    <x:col min="11" max="11" width="14" hidden="0" customWidth="1"/>
    <x:col min="12" max="12" width="4" hidden="0" customWidth="1"/>
  </x:cols>
  <x:sheetData>
    <x:row r="1">
      <x:c r="A1" s="20" t="str">
        <x:v>Enterprise Help Desk Monitoring Dashboard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</x:row>
    <x:row r="2">
      <x:c r="A2" s="20"/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6" t="str">
        <x:v>Alert health, availability, response, and service-risk overview | July–August 2026</x:v>
      </x:c>
      <x:c r="B3" s="26"/>
      <x:c r="C3" s="26"/>
      <x:c r="D3" s="26"/>
      <x:c r="E3" s="26"/>
      <x:c r="F3" s="26"/>
      <x:c r="G3" s="26"/>
      <x:c r="H3" s="26"/>
      <x:c r="I3" s="26"/>
      <x:c r="J3" s="26"/>
      <x:c r="K3" s="26"/>
      <x:c r="L3" s="26"/>
    </x:row>
    <x:row r="5">
      <x:c r="A5" s="34" t="str">
        <x:f>"Total Alerts"&amp;CHAR(10)&amp;TEXT(COUNTA('Alert Register'!A2:A11),"0")</x:f>
        <x:v>Total Alerts
10</x:v>
      </x:c>
      <x:c r="B5" s="34"/>
      <x:c r="C5" s="34"/>
      <x:c r="D5" s="34" t="str">
        <x:f>"Critical / High"&amp;CHAR(10)&amp;TEXT(COUNTIF('Alert Register'!F2:F11,"Critical")+COUNTIF('Alert Register'!F2:F11,"High"),"0")</x:f>
        <x:v>Critical / High
8</x:v>
      </x:c>
      <x:c r="E5" s="34"/>
      <x:c r="F5" s="34"/>
      <x:c r="G5" s="34" t="str">
        <x:f>"Closed Alerts"&amp;CHAR(10)&amp;TEXT(COUNTIF('Alert Register'!K2:K11,"Closed"),"0")</x:f>
        <x:v>Closed Alerts
10</x:v>
      </x:c>
      <x:c r="H5" s="34"/>
      <x:c r="I5" s="34"/>
      <x:c r="J5" s="34" t="str">
        <x:f>"Linked Incidents"&amp;CHAR(10)&amp;TEXT(COUNTIF('Alert Register'!I2:I11,"&lt;&gt;"),"0")</x:f>
        <x:v>Linked Incidents
10</x:v>
      </x:c>
      <x:c r="K5" s="34"/>
      <x:c r="L5" s="34"/>
    </x:row>
    <x:row r="6">
      <x:c r="A6" s="34"/>
      <x:c r="B6" s="34"/>
      <x:c r="C6" s="34"/>
      <x:c r="D6" s="34"/>
      <x:c r="E6" s="34"/>
      <x:c r="F6" s="34"/>
      <x:c r="G6" s="34"/>
      <x:c r="H6" s="34"/>
      <x:c r="I6" s="34"/>
      <x:c r="J6" s="34"/>
      <x:c r="K6" s="34"/>
      <x:c r="L6" s="34"/>
    </x:row>
    <x:row r="7">
      <x:c r="A7" s="34"/>
      <x:c r="B7" s="34"/>
      <x:c r="C7" s="34"/>
      <x:c r="D7" s="34"/>
      <x:c r="E7" s="34"/>
      <x:c r="F7" s="34"/>
      <x:c r="G7" s="34"/>
      <x:c r="H7" s="34"/>
      <x:c r="I7" s="34"/>
      <x:c r="J7" s="34"/>
      <x:c r="K7" s="34"/>
      <x:c r="L7" s="34"/>
    </x:row>
    <x:row r="9">
      <x:c r="A9" s="34" t="str">
        <x:f>"Closure Rate"&amp;CHAR(10)&amp;TEXT(COUNTIF('Alert Register'!K2:K11,"Closed")/COUNTA('Alert Register'!A2:A11),"0.0%")</x:f>
        <x:v>Closure Rate
100.0%</x:v>
      </x:c>
      <x:c r="B9" s="34"/>
      <x:c r="C9" s="34"/>
      <x:c r="D9" s="34" t="str">
        <x:f>"Services Meeting Target"&amp;CHAR(10)&amp;TEXT(COUNTIF('Service Health'!F2:F8,"Met")/COUNTA('Service Health'!A2:A8),"0.0%")</x:f>
        <x:v>Services Meeting Target
71.4%</x:v>
      </x:c>
      <x:c r="E9" s="34"/>
      <x:c r="F9" s="34"/>
      <x:c r="G9" s="34" t="str">
        <x:f>"Open Alerts"&amp;CHAR(10)&amp;TEXT(COUNTIF('Alert Register'!K2:K11,"Open")+COUNTIF('Alert Register'!K2:K11,"Investigating")+COUNTIF('Alert Register'!K2:K11,"Monitoring"),"0")</x:f>
        <x:v>Open Alerts
0</x:v>
      </x:c>
      <x:c r="H9" s="34"/>
      <x:c r="I9" s="34"/>
      <x:c r="J9" s="34" t="str">
        <x:f>"Preventive Actions"&amp;CHAR(10)&amp;TEXT(COUNTIF('Alert Register'!M2:M11,"&lt;&gt;"),"0")</x:f>
        <x:v>Preventive Actions
10</x:v>
      </x:c>
      <x:c r="K9" s="34"/>
      <x:c r="L9" s="34"/>
    </x:row>
    <x:row r="10">
      <x:c r="A10" s="34"/>
      <x:c r="B10" s="34"/>
      <x:c r="C10" s="34"/>
      <x:c r="D10" s="34"/>
      <x:c r="E10" s="34"/>
      <x:c r="F10" s="34"/>
      <x:c r="G10" s="34"/>
      <x:c r="H10" s="34"/>
      <x:c r="I10" s="34"/>
      <x:c r="J10" s="34"/>
      <x:c r="K10" s="34"/>
      <x:c r="L10" s="34"/>
    </x:row>
    <x:row r="11">
      <x:c r="A11" s="34"/>
      <x:c r="B11" s="34"/>
      <x:c r="C11" s="34"/>
      <x:c r="D11" s="34"/>
      <x:c r="E11" s="34"/>
      <x:c r="F11" s="34"/>
      <x:c r="G11" s="34"/>
      <x:c r="H11" s="34"/>
      <x:c r="I11" s="34"/>
      <x:c r="J11" s="34"/>
      <x:c r="K11" s="34"/>
      <x:c r="L11" s="34"/>
    </x:row>
    <x:row r="14">
      <x:c r="A14" s="43" t="str">
        <x:v>Severity</x:v>
      </x:c>
      <x:c r="B14" s="43" t="str">
        <x:v>Count</x:v>
      </x:c>
      <x:c r="D14" s="43" t="str">
        <x:v>Domain</x:v>
      </x:c>
      <x:c r="E14" s="43" t="str">
        <x:v>Count</x:v>
      </x:c>
      <x:c r="G14" s="43" t="str">
        <x:v>Service</x:v>
      </x:c>
      <x:c r="H14" s="43" t="str">
        <x:v>Availability</x:v>
      </x:c>
      <x:c r="J14" s="43" t="str">
        <x:v>Owner</x:v>
      </x:c>
      <x:c r="K14" s="43" t="str">
        <x:v>Alerts</x:v>
      </x:c>
    </x:row>
    <x:row r="15">
      <x:c r="A15" t="str">
        <x:v>Critical</x:v>
      </x:c>
      <x:c r="B15" t="n">
        <x:f>COUNTIF('Alert Register'!F2:F11,A15)</x:f>
        <x:v>2</x:v>
      </x:c>
      <x:c r="D15" t="str">
        <x:v>Endpoint</x:v>
      </x:c>
      <x:c r="E15" t="n">
        <x:f>COUNTIF('Alert Register'!C2:C11,D15)</x:f>
        <x:v>3</x:v>
      </x:c>
      <x:c r="G15" t="str">
        <x:v>Active Directory</x:v>
      </x:c>
      <x:c r="H15" s="40" t="n">
        <x:f>VALUE(SUBSTITUTE('Service Health'!C2,"%",""))/100</x:f>
        <x:v>0.9995999999999999</x:v>
      </x:c>
      <x:c r="J15" t="str">
        <x:v>Jamie Christian II</x:v>
      </x:c>
      <x:c r="K15" t="n">
        <x:f>COUNTIF('Alert Register'!H2:H11,J15)</x:f>
        <x:v>5</x:v>
      </x:c>
    </x:row>
    <x:row r="16">
      <x:c r="A16" t="str">
        <x:v>High</x:v>
      </x:c>
      <x:c r="B16" t="n">
        <x:f>COUNTIF('Alert Register'!F2:F11,A16)</x:f>
        <x:v>6</x:v>
      </x:c>
      <x:c r="D16" t="str">
        <x:v>Security</x:v>
      </x:c>
      <x:c r="E16" t="n">
        <x:f>COUNTIF('Alert Register'!C2:C11,D16)</x:f>
        <x:v>1</x:v>
      </x:c>
      <x:c r="G16" t="str">
        <x:v>Microsoft 365</x:v>
      </x:c>
      <x:c r="H16" s="40" t="n">
        <x:f>VALUE(SUBSTITUTE('Service Health'!C3,"%",""))/100</x:f>
        <x:v>0.9982</x:v>
      </x:c>
      <x:c r="J16" t="str">
        <x:v>Alex Morgan</x:v>
      </x:c>
      <x:c r="K16" t="n">
        <x:f>COUNTIF('Alert Register'!H2:H11,J16)</x:f>
        <x:v>2</x:v>
      </x:c>
    </x:row>
    <x:row r="17">
      <x:c r="A17" t="str">
        <x:v>Medium</x:v>
      </x:c>
      <x:c r="B17" t="n">
        <x:f>COUNTIF('Alert Register'!F2:F11,A17)</x:f>
        <x:v>1</x:v>
      </x:c>
      <x:c r="D17" t="str">
        <x:v>Network</x:v>
      </x:c>
      <x:c r="E17" t="n">
        <x:f>COUNTIF('Alert Register'!C2:C11,D17)</x:f>
        <x:v>1</x:v>
      </x:c>
      <x:c r="G17" t="str">
        <x:v>VPN</x:v>
      </x:c>
      <x:c r="H17" s="40" t="n">
        <x:f>VALUE(SUBSTITUTE('Service Health'!C4,"%",""))/100</x:f>
        <x:v>0.9974</x:v>
      </x:c>
      <x:c r="J17" t="str">
        <x:v>Taylor Reed</x:v>
      </x:c>
      <x:c r="K17" t="n">
        <x:f>COUNTIF('Alert Register'!H2:H11,J17)</x:f>
        <x:v>2</x:v>
      </x:c>
    </x:row>
    <x:row r="18">
      <x:c r="A18" t="str">
        <x:v>Low</x:v>
      </x:c>
      <x:c r="B18" t="n">
        <x:f>COUNTIF('Alert Register'!F2:F11,A18)</x:f>
        <x:v>1</x:v>
      </x:c>
      <x:c r="D18" t="str">
        <x:v>Service</x:v>
      </x:c>
      <x:c r="E18" t="n">
        <x:f>COUNTIF('Alert Register'!C2:C11,D18)</x:f>
        <x:v>1</x:v>
      </x:c>
      <x:c r="G18" t="str">
        <x:v>File Services</x:v>
      </x:c>
      <x:c r="H18" s="40" t="n">
        <x:f>VALUE(SUBSTITUTE('Service Health'!C5,"%",""))/100</x:f>
        <x:v>0.9991</x:v>
      </x:c>
      <x:c r="J18" t="str">
        <x:v>Jordan Lee</x:v>
      </x:c>
      <x:c r="K18" t="n">
        <x:f>COUNTIF('Alert Register'!H2:H11,J18)</x:f>
        <x:v>1</x:v>
      </x:c>
    </x:row>
    <x:row r="19">
      <x:c r="D19" t="str">
        <x:v>Microsoft 365</x:v>
      </x:c>
      <x:c r="E19" t="n">
        <x:f>COUNTIF('Alert Register'!C2:C11,D19)</x:f>
        <x:v>1</x:v>
      </x:c>
      <x:c r="G19" t="str">
        <x:v>Endpoint Management</x:v>
      </x:c>
      <x:c r="H19" s="40" t="n">
        <x:f>VALUE(SUBSTITUTE('Service Health'!C6,"%",""))/100</x:f>
        <x:v>0.9998</x:v>
      </x:c>
    </x:row>
    <x:row r="20">
      <x:c r="D20" t="str">
        <x:v>Other</x:v>
      </x:c>
      <x:c r="E20" t="n">
        <x:f>COUNTA('Alert Register'!A2:A11)-SUM(E15:E19)</x:f>
        <x:v>3</x:v>
      </x:c>
      <x:c r="G20" t="str">
        <x:v>Cloud Backup</x:v>
      </x:c>
      <x:c r="H20" s="40" t="n">
        <x:f>VALUE(SUBSTITUTE('Service Health'!C8,"%",""))/100</x:f>
        <x:v>0.9995</x:v>
      </x:c>
    </x:row>
    <x:row r="58">
      <x:c r="A58" s="3" t="str">
        <x:v>Management Summary</x:v>
      </x:c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</x:row>
    <x:row r="59">
      <x:c r="A59" s="47" t="str">
        <x:v>All recorded alerts were closed with documented resolutions and preventive actions. VPN and Microsoft 365 availability fell below the 99.90% target during July, driven by certificate, DNS, and authentication-token issues. The monitoring program successfully linked service-impacting alerts to incidents and converted each major finding into a permanent control or validation improvement.</x:v>
      </x:c>
      <x:c r="B59" s="47"/>
      <x:c r="C59" s="47"/>
      <x:c r="D59" s="47"/>
      <x:c r="E59" s="47"/>
      <x:c r="F59" s="47"/>
      <x:c r="G59" s="47"/>
      <x:c r="H59" s="47"/>
      <x:c r="I59" s="47"/>
      <x:c r="J59" s="47"/>
      <x:c r="K59" s="47"/>
      <x:c r="L59" s="47"/>
    </x:row>
    <x:row r="60">
      <x:c r="A60" s="47"/>
      <x:c r="B60" s="47"/>
      <x:c r="C60" s="47"/>
      <x:c r="D60" s="47"/>
      <x:c r="E60" s="47"/>
      <x:c r="F60" s="47"/>
      <x:c r="G60" s="47"/>
      <x:c r="H60" s="47"/>
      <x:c r="I60" s="47"/>
      <x:c r="J60" s="47"/>
      <x:c r="K60" s="47"/>
      <x:c r="L60" s="47"/>
    </x:row>
    <x:row r="61">
      <x:c r="A61" s="47"/>
      <x:c r="B61" s="47"/>
      <x:c r="C61" s="47"/>
      <x:c r="D61" s="47"/>
      <x:c r="E61" s="47"/>
      <x:c r="F61" s="47"/>
      <x:c r="G61" s="47"/>
      <x:c r="H61" s="47"/>
      <x:c r="I61" s="47"/>
      <x:c r="J61" s="47"/>
      <x:c r="K61" s="47"/>
      <x:c r="L61" s="47"/>
    </x:row>
    <x:row r="62">
      <x:c r="A62" s="47"/>
      <x:c r="B62" s="47"/>
      <x:c r="C62" s="47"/>
      <x:c r="D62" s="47"/>
      <x:c r="E62" s="47"/>
      <x:c r="F62" s="47"/>
      <x:c r="G62" s="47"/>
      <x:c r="H62" s="47"/>
      <x:c r="I62" s="47"/>
      <x:c r="J62" s="47"/>
      <x:c r="K62" s="47"/>
      <x:c r="L62" s="47"/>
    </x:row>
    <x:row r="63">
      <x:c r="A63" s="47"/>
      <x:c r="B63" s="47"/>
      <x:c r="C63" s="47"/>
      <x:c r="D63" s="47"/>
      <x:c r="E63" s="47"/>
      <x:c r="F63" s="47"/>
      <x:c r="G63" s="47"/>
      <x:c r="H63" s="47"/>
      <x:c r="I63" s="47"/>
      <x:c r="J63" s="47"/>
      <x:c r="K63" s="47"/>
      <x:c r="L63" s="47"/>
    </x:row>
    <x:row r="64">
      <x:c r="A64" s="47"/>
      <x:c r="B64" s="47"/>
      <x:c r="C64" s="47"/>
      <x:c r="D64" s="47"/>
      <x:c r="E64" s="47"/>
      <x:c r="F64" s="47"/>
      <x:c r="G64" s="47"/>
      <x:c r="H64" s="47"/>
      <x:c r="I64" s="47"/>
      <x:c r="J64" s="47"/>
      <x:c r="K64" s="47"/>
      <x:c r="L64" s="47"/>
    </x:row>
  </x:sheetData>
  <x:mergeCells>
    <x:mergeCell ref="A1:L2"/>
    <x:mergeCell ref="A3:L3"/>
    <x:mergeCell ref="A5:C7"/>
    <x:mergeCell ref="D5:F7"/>
    <x:mergeCell ref="G5:I7"/>
    <x:mergeCell ref="J5:L7"/>
    <x:mergeCell ref="A9:C11"/>
    <x:mergeCell ref="D9:F11"/>
    <x:mergeCell ref="G9:I11"/>
    <x:mergeCell ref="J9:L11"/>
    <x:mergeCell ref="A58:L58"/>
    <x:mergeCell ref="A59:L64"/>
  </x:mergeCells>
  <x:pageMargins left="0.7" right="0.7" top="0.75" bottom="0.75" header="0.3" footer="0.3"/>
  <x:drawing xmlns:r="http://schemas.openxmlformats.org/officeDocument/2006/relationships" r:id="R39d0b3e28215459c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6" hidden="0" customWidth="1"/>
    <x:col min="4" max="4" width="18" hidden="0" customWidth="1"/>
    <x:col min="5" max="5" width="38" hidden="0" customWidth="1"/>
    <x:col min="6" max="6" width="12" hidden="0" customWidth="1"/>
    <x:col min="7" max="7" width="24" hidden="0" customWidth="1"/>
    <x:col min="8" max="8" width="20" hidden="0" customWidth="1"/>
    <x:col min="9" max="9" width="16" hidden="0" customWidth="1"/>
    <x:col min="10" max="10" width="18" hidden="0" customWidth="1"/>
    <x:col min="11" max="11" width="12" hidden="0" customWidth="1"/>
    <x:col min="12" max="12" width="44" hidden="0" customWidth="1"/>
    <x:col min="13" max="13" width="44" hidden="0" customWidth="1"/>
  </x:cols>
  <x:sheetData>
    <x:row r="1">
      <x:c r="A1" s="6" t="str">
        <x:v>Alert ID</x:v>
      </x:c>
      <x:c r="B1" s="6" t="str">
        <x:v>Detected At</x:v>
      </x:c>
      <x:c r="C1" s="6" t="str">
        <x:v>Domain</x:v>
      </x:c>
      <x:c r="D1" s="6" t="str">
        <x:v>Configuration Item</x:v>
      </x:c>
      <x:c r="E1" s="6" t="str">
        <x:v>Alert</x:v>
      </x:c>
      <x:c r="F1" s="6" t="str">
        <x:v>Severity</x:v>
      </x:c>
      <x:c r="G1" s="6" t="str">
        <x:v>Source</x:v>
      </x:c>
      <x:c r="H1" s="6" t="str">
        <x:v>Owner</x:v>
      </x:c>
      <x:c r="I1" s="6" t="str">
        <x:v>Related Incident</x:v>
      </x:c>
      <x:c r="J1" s="6" t="str">
        <x:v>Closed At</x:v>
      </x:c>
      <x:c r="K1" s="6" t="str">
        <x:v>Status</x:v>
      </x:c>
      <x:c r="L1" s="6" t="str">
        <x:v>Resolution</x:v>
      </x:c>
      <x:c r="M1" s="6" t="str">
        <x:v>Preventive Action</x:v>
      </x:c>
    </x:row>
    <x:row r="2">
      <x:c r="A2" s="14" t="str">
        <x:v>ALT-2026-001</x:v>
      </x:c>
      <x:c r="B2" s="15" t="str">
        <x:v>2026-07-08 08:14</x:v>
      </x:c>
      <x:c r="C2" s="14" t="str">
        <x:v>Endpoint</x:v>
      </x:c>
      <x:c r="D2" s="14" t="str">
        <x:v>PC-FIN-022</x:v>
      </x:c>
      <x:c r="E2" s="14" t="str">
        <x:v>Disk capacity below 10%</x:v>
      </x:c>
      <x:c r="F2" s="14" t="str">
        <x:v>High</x:v>
      </x:c>
      <x:c r="G2" s="14" t="str">
        <x:v>Windows Monitoring</x:v>
      </x:c>
      <x:c r="H2" s="14" t="str">
        <x:v>Jamie Christian II</x:v>
      </x:c>
      <x:c r="I2" s="14" t="str">
        <x:v>INC-2026-082</x:v>
      </x:c>
      <x:c r="J2" s="15" t="str">
        <x:v>2026-07-08 09:02</x:v>
      </x:c>
      <x:c r="K2" s="14" t="str">
        <x:v>Closed</x:v>
      </x:c>
      <x:c r="L2" s="14" t="str">
        <x:v>Temporary files removed; archive moved; free space restored to 31%</x:v>
      </x:c>
      <x:c r="M2" s="14" t="str">
        <x:v>Capacity trend added to weekly review</x:v>
      </x:c>
    </x:row>
    <x:row r="3">
      <x:c r="A3" s="14" t="str">
        <x:v>ALT-2026-002</x:v>
      </x:c>
      <x:c r="B3" s="15" t="str">
        <x:v>2026-07-11 13:26</x:v>
      </x:c>
      <x:c r="C3" s="14" t="str">
        <x:v>Security</x:v>
      </x:c>
      <x:c r="D3" s="14" t="str">
        <x:v>LT-SALES-014</x:v>
      </x:c>
      <x:c r="E3" s="14" t="str">
        <x:v>Microsoft Defender malware detection</x:v>
      </x:c>
      <x:c r="F3" s="14" t="str">
        <x:v>Critical</x:v>
      </x:c>
      <x:c r="G3" s="14" t="str">
        <x:v>Microsoft Defender</x:v>
      </x:c>
      <x:c r="H3" s="14" t="str">
        <x:v>Jamie Christian II</x:v>
      </x:c>
      <x:c r="I3" s="14" t="str">
        <x:v>INC-2026-091</x:v>
      </x:c>
      <x:c r="J3" s="15" t="str">
        <x:v>2026-07-11 14:18</x:v>
      </x:c>
      <x:c r="K3" s="14" t="str">
        <x:v>Closed</x:v>
      </x:c>
      <x:c r="L3" s="14" t="str">
        <x:v>Device isolated; file quarantined; full scan clean</x:v>
      </x:c>
      <x:c r="M3" s="14" t="str">
        <x:v>Blocked hash added to alert watchlist</x:v>
      </x:c>
    </x:row>
    <x:row r="4">
      <x:c r="A4" s="14" t="str">
        <x:v>ALT-2026-003</x:v>
      </x:c>
      <x:c r="B4" s="15" t="str">
        <x:v>2026-07-15 09:47</x:v>
      </x:c>
      <x:c r="C4" s="14" t="str">
        <x:v>Network</x:v>
      </x:c>
      <x:c r="D4" s="14" t="str">
        <x:v>VPN-GW-01</x:v>
      </x:c>
      <x:c r="E4" s="14" t="str">
        <x:v>VPN authentication failure rate above 20%</x:v>
      </x:c>
      <x:c r="F4" s="14" t="str">
        <x:v>High</x:v>
      </x:c>
      <x:c r="G4" s="14" t="str">
        <x:v>VPN Monitoring</x:v>
      </x:c>
      <x:c r="H4" s="14" t="str">
        <x:v>Alex Morgan</x:v>
      </x:c>
      <x:c r="I4" s="14" t="str">
        <x:v>INC-2026-097</x:v>
      </x:c>
      <x:c r="J4" s="15" t="str">
        <x:v>2026-07-15 10:36</x:v>
      </x:c>
      <x:c r="K4" s="14" t="str">
        <x:v>Closed</x:v>
      </x:c>
      <x:c r="L4" s="14" t="str">
        <x:v>Expired RADIUS certificate replaced</x:v>
      </x:c>
      <x:c r="M4" s="14" t="str">
        <x:v>Certificate expiry alert added at 30 days</x:v>
      </x:c>
    </x:row>
    <x:row r="5">
      <x:c r="A5" s="14" t="str">
        <x:v>ALT-2026-004</x:v>
      </x:c>
      <x:c r="B5" s="15" t="str">
        <x:v>2026-07-22 09:01</x:v>
      </x:c>
      <x:c r="C5" s="14" t="str">
        <x:v>Service</x:v>
      </x:c>
      <x:c r="D5" s="14" t="str">
        <x:v>FS-01</x:v>
      </x:c>
      <x:c r="E5" s="14" t="str">
        <x:v>File share unavailable from remote network</x:v>
      </x:c>
      <x:c r="F5" s="14" t="str">
        <x:v>Critical</x:v>
      </x:c>
      <x:c r="G5" s="14" t="str">
        <x:v>Synthetic Availability Check</x:v>
      </x:c>
      <x:c r="H5" s="14" t="str">
        <x:v>Jamie Christian II</x:v>
      </x:c>
      <x:c r="I5" s="14" t="str">
        <x:v>INC-2026-104</x:v>
      </x:c>
      <x:c r="J5" s="15" t="str">
        <x:v>2026-07-22 09:41</x:v>
      </x:c>
      <x:c r="K5" s="14" t="str">
        <x:v>Closed</x:v>
      </x:c>
      <x:c r="L5" s="14" t="str">
        <x:v>VPN DNS configuration corrected</x:v>
      </x:c>
      <x:c r="M5" s="14" t="str">
        <x:v>Peer review and DNS validation added</x:v>
      </x:c>
    </x:row>
    <x:row r="6">
      <x:c r="A6" s="14" t="str">
        <x:v>ALT-2026-005</x:v>
      </x:c>
      <x:c r="B6" s="15" t="str">
        <x:v>2026-07-24 11:08</x:v>
      </x:c>
      <x:c r="C6" s="14" t="str">
        <x:v>Endpoint</x:v>
      </x:c>
      <x:c r="D6" s="14" t="str">
        <x:v>LT-HR-007</x:v>
      </x:c>
      <x:c r="E6" s="14" t="str">
        <x:v>BitLocker protection suspended</x:v>
      </x:c>
      <x:c r="F6" s="14" t="str">
        <x:v>High</x:v>
      </x:c>
      <x:c r="G6" s="14" t="str">
        <x:v>Endpoint Compliance</x:v>
      </x:c>
      <x:c r="H6" s="14" t="str">
        <x:v>Taylor Reed</x:v>
      </x:c>
      <x:c r="I6" s="14" t="str">
        <x:v>INC-2026-109</x:v>
      </x:c>
      <x:c r="J6" s="15" t="str">
        <x:v>2026-07-24 11:52</x:v>
      </x:c>
      <x:c r="K6" s="14" t="str">
        <x:v>Closed</x:v>
      </x:c>
      <x:c r="L6" s="14" t="str">
        <x:v>Protection resumed and recovery key escrow verified</x:v>
      </x:c>
      <x:c r="M6" s="14" t="str">
        <x:v>Compliance policy updated to alert after 15 minutes</x:v>
      </x:c>
    </x:row>
    <x:row r="7">
      <x:c r="A7" s="14" t="str">
        <x:v>ALT-2026-006</x:v>
      </x:c>
      <x:c r="B7" s="15" t="str">
        <x:v>2026-07-27 10:24</x:v>
      </x:c>
      <x:c r="C7" s="14" t="str">
        <x:v>Microsoft 365</x:v>
      </x:c>
      <x:c r="D7" s="14" t="str">
        <x:v>EXO-Service</x:v>
      </x:c>
      <x:c r="E7" s="14" t="str">
        <x:v>Outlook send/receive failures across two departments</x:v>
      </x:c>
      <x:c r="F7" s="14" t="str">
        <x:v>High</x:v>
      </x:c>
      <x:c r="G7" s="14" t="str">
        <x:v>Service Desk Correlation</x:v>
      </x:c>
      <x:c r="H7" s="14" t="str">
        <x:v>Jamie Christian II</x:v>
      </x:c>
      <x:c r="I7" s="14" t="str">
        <x:v>INC-2026-117</x:v>
      </x:c>
      <x:c r="J7" s="15" t="str">
        <x:v>2026-07-27 11:36</x:v>
      </x:c>
      <x:c r="K7" s="14" t="str">
        <x:v>Closed</x:v>
      </x:c>
      <x:c r="L7" s="14" t="str">
        <x:v>Stale authentication tokens refreshed</x:v>
      </x:c>
      <x:c r="M7" s="14" t="str">
        <x:v>Pilot group added for identity changes</x:v>
      </x:c>
    </x:row>
    <x:row r="8">
      <x:c r="A8" s="14" t="str">
        <x:v>ALT-2026-007</x:v>
      </x:c>
      <x:c r="B8" s="15" t="str">
        <x:v>2026-07-29 07:32</x:v>
      </x:c>
      <x:c r="C8" s="14" t="str">
        <x:v>Print</x:v>
      </x:c>
      <x:c r="D8" s="14" t="str">
        <x:v>PRN-FIN-01</x:v>
      </x:c>
      <x:c r="E8" s="14" t="str">
        <x:v>Print queue backlog above 40 jobs</x:v>
      </x:c>
      <x:c r="F8" s="14" t="str">
        <x:v>Medium</x:v>
      </x:c>
      <x:c r="G8" s="14" t="str">
        <x:v>Print Server Monitor</x:v>
      </x:c>
      <x:c r="H8" s="14" t="str">
        <x:v>Jordan Lee</x:v>
      </x:c>
      <x:c r="I8" s="14" t="str">
        <x:v>INC-2026-120</x:v>
      </x:c>
      <x:c r="J8" s="15" t="str">
        <x:v>2026-07-29 08:11</x:v>
      </x:c>
      <x:c r="K8" s="14" t="str">
        <x:v>Closed</x:v>
      </x:c>
      <x:c r="L8" s="14" t="str">
        <x:v>Stuck job removed; spooler restarted</x:v>
      </x:c>
      <x:c r="M8" s="14" t="str">
        <x:v>Queue threshold retained; driver update scheduled</x:v>
      </x:c>
    </x:row>
    <x:row r="9">
      <x:c r="A9" s="14" t="str">
        <x:v>ALT-2026-008</x:v>
      </x:c>
      <x:c r="B9" s="15" t="str">
        <x:v>2026-07-30 07:49</x:v>
      </x:c>
      <x:c r="C9" s="14" t="str">
        <x:v>Identity</x:v>
      </x:c>
      <x:c r="D9" s="14" t="str">
        <x:v>DC01</x:v>
      </x:c>
      <x:c r="E9" s="14" t="str">
        <x:v>Account lockout events above baseline</x:v>
      </x:c>
      <x:c r="F9" s="14" t="str">
        <x:v>High</x:v>
      </x:c>
      <x:c r="G9" s="14" t="str">
        <x:v>Windows Event Forwarding</x:v>
      </x:c>
      <x:c r="H9" s="14" t="str">
        <x:v>Jamie Christian II</x:v>
      </x:c>
      <x:c r="I9" s="14" t="str">
        <x:v>INC-2026-123</x:v>
      </x:c>
      <x:c r="J9" s="15" t="str">
        <x:v>2026-07-30 09:02</x:v>
      </x:c>
      <x:c r="K9" s="14" t="str">
        <x:v>Closed</x:v>
      </x:c>
      <x:c r="L9" s="14" t="str">
        <x:v>Stale scheduled-task credential removed</x:v>
      </x:c>
      <x:c r="M9" s="14" t="str">
        <x:v>Service-account dependency review added</x:v>
      </x:c>
    </x:row>
    <x:row r="10">
      <x:c r="A10" s="14" t="str">
        <x:v>ALT-2026-009</x:v>
      </x:c>
      <x:c r="B10" s="15" t="str">
        <x:v>2026-08-01 15:16</x:v>
      </x:c>
      <x:c r="C10" s="14" t="str">
        <x:v>Endpoint</x:v>
      </x:c>
      <x:c r="D10" s="14" t="str">
        <x:v>LT-OPS-009</x:v>
      </x:c>
      <x:c r="E10" s="14" t="str">
        <x:v>Endpoint offline for more than 24 hours</x:v>
      </x:c>
      <x:c r="F10" s="14" t="str">
        <x:v>Low</x:v>
      </x:c>
      <x:c r="G10" s="14" t="str">
        <x:v>Endpoint Management</x:v>
      </x:c>
      <x:c r="H10" s="14" t="str">
        <x:v>Alex Morgan</x:v>
      </x:c>
      <x:c r="I10" s="14" t="str"/>
      <x:c r="J10" s="15" t="str">
        <x:v>2026-08-02 09:10</x:v>
      </x:c>
      <x:c r="K10" s="14" t="str">
        <x:v>Closed</x:v>
      </x:c>
      <x:c r="L10" s="14" t="str">
        <x:v>User confirmed approved leave; suppression applied</x:v>
      </x:c>
      <x:c r="M10" s="14" t="str">
        <x:v>Maintenance-calendar integration documented</x:v>
      </x:c>
    </x:row>
    <x:row r="11">
      <x:c r="A11" s="14" t="str">
        <x:v>ALT-2026-010</x:v>
      </x:c>
      <x:c r="B11" s="15" t="str">
        <x:v>2026-08-03 12:04</x:v>
      </x:c>
      <x:c r="C11" s="14" t="str">
        <x:v>Cloud</x:v>
      </x:c>
      <x:c r="D11" s="14" t="str">
        <x:v>Azure-Backup-01</x:v>
      </x:c>
      <x:c r="E11" s="14" t="str">
        <x:v>Backup job failed</x:v>
      </x:c>
      <x:c r="F11" s="14" t="str">
        <x:v>High</x:v>
      </x:c>
      <x:c r="G11" s="14" t="str">
        <x:v>Azure Monitor</x:v>
      </x:c>
      <x:c r="H11" s="14" t="str">
        <x:v>Taylor Reed</x:v>
      </x:c>
      <x:c r="I11" s="14" t="str">
        <x:v>INC-2026-128</x:v>
      </x:c>
      <x:c r="J11" s="15" t="str">
        <x:v>2026-08-03 13:02</x:v>
      </x:c>
      <x:c r="K11" s="14" t="str">
        <x:v>Closed</x:v>
      </x:c>
      <x:c r="L11" s="14" t="str">
        <x:v>Credential expired; managed identity reauthorized</x:v>
      </x:c>
      <x:c r="M11" s="14" t="str">
        <x:v>Credential expiry alert created</x:v>
      </x:c>
    </x:row>
  </x:sheetData>
  <x:dataValidations count="2">
    <x:dataValidation type="list" sqref="F2:F11">
      <x:formula1>"Critical,High,Medium,Low"</x:formula1>
    </x:dataValidation>
    <x:dataValidation type="list" sqref="K2:K11">
      <x:formula1>"Open,Investigating,Monitoring,Closed,Suppressed"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437d90b55c8412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4" hidden="0" customWidth="1"/>
    <x:col min="4" max="4" width="12" hidden="0" customWidth="1"/>
    <x:col min="5" max="5" width="12" hidden="0" customWidth="1"/>
    <x:col min="6" max="6" width="16" hidden="0" customWidth="1"/>
  </x:cols>
  <x:sheetData>
    <x:row r="1">
      <x:c r="A1" s="3" t="str">
        <x:v>Service</x:v>
      </x:c>
      <x:c r="B1" s="3" t="str">
        <x:v>Reporting Period</x:v>
      </x:c>
      <x:c r="C1" s="3" t="str">
        <x:v>Availability</x:v>
      </x:c>
      <x:c r="D1" s="3" t="str">
        <x:v>Target</x:v>
      </x:c>
      <x:c r="E1" s="3" t="str">
        <x:v>Incidents</x:v>
      </x:c>
      <x:c r="F1" s="3" t="str">
        <x:v>Status</x:v>
      </x:c>
    </x:row>
    <x:row r="2">
      <x:c r="A2" t="str">
        <x:v>Active Directory</x:v>
      </x:c>
      <x:c r="B2" t="str">
        <x:v>2026-07</x:v>
      </x:c>
      <x:c r="C2" t="str">
        <x:v>99.96%</x:v>
      </x:c>
      <x:c r="D2" t="str">
        <x:v>99.90%</x:v>
      </x:c>
      <x:c r="E2" t="str">
        <x:v>1</x:v>
      </x:c>
      <x:c r="F2" t="str">
        <x:v>Met</x:v>
      </x:c>
    </x:row>
    <x:row r="3">
      <x:c r="A3" t="str">
        <x:v>Microsoft 365</x:v>
      </x:c>
      <x:c r="B3" t="str">
        <x:v>2026-07</x:v>
      </x:c>
      <x:c r="C3" t="str">
        <x:v>99.82%</x:v>
      </x:c>
      <x:c r="D3" t="str">
        <x:v>99.90%</x:v>
      </x:c>
      <x:c r="E3" t="str">
        <x:v>1</x:v>
      </x:c>
      <x:c r="F3" t="str">
        <x:v>Below Target</x:v>
      </x:c>
    </x:row>
    <x:row r="4">
      <x:c r="A4" t="str">
        <x:v>VPN</x:v>
      </x:c>
      <x:c r="B4" t="str">
        <x:v>2026-07</x:v>
      </x:c>
      <x:c r="C4" t="str">
        <x:v>99.74%</x:v>
      </x:c>
      <x:c r="D4" t="str">
        <x:v>99.90%</x:v>
      </x:c>
      <x:c r="E4" t="str">
        <x:v>2</x:v>
      </x:c>
      <x:c r="F4" t="str">
        <x:v>Below Target</x:v>
      </x:c>
    </x:row>
    <x:row r="5">
      <x:c r="A5" t="str">
        <x:v>File Services</x:v>
      </x:c>
      <x:c r="B5" t="str">
        <x:v>2026-07</x:v>
      </x:c>
      <x:c r="C5" t="str">
        <x:v>99.91%</x:v>
      </x:c>
      <x:c r="D5" t="str">
        <x:v>99.90%</x:v>
      </x:c>
      <x:c r="E5" t="str">
        <x:v>1</x:v>
      </x:c>
      <x:c r="F5" t="str">
        <x:v>Met</x:v>
      </x:c>
    </x:row>
    <x:row r="6">
      <x:c r="A6" t="str">
        <x:v>Endpoint Management</x:v>
      </x:c>
      <x:c r="B6" t="str">
        <x:v>2026-07</x:v>
      </x:c>
      <x:c r="C6" t="str">
        <x:v>99.98%</x:v>
      </x:c>
      <x:c r="D6" t="str">
        <x:v>99.90%</x:v>
      </x:c>
      <x:c r="E6" t="str">
        <x:v>1</x:v>
      </x:c>
      <x:c r="F6" t="str">
        <x:v>Met</x:v>
      </x:c>
    </x:row>
    <x:row r="7">
      <x:c r="A7" t="str">
        <x:v>Printing</x:v>
      </x:c>
      <x:c r="B7" t="str">
        <x:v>2026-07</x:v>
      </x:c>
      <x:c r="C7" t="str">
        <x:v>99.93%</x:v>
      </x:c>
      <x:c r="D7" t="str">
        <x:v>99.50%</x:v>
      </x:c>
      <x:c r="E7" t="str">
        <x:v>1</x:v>
      </x:c>
      <x:c r="F7" t="str">
        <x:v>Met</x:v>
      </x:c>
    </x:row>
    <x:row r="8">
      <x:c r="A8" t="str">
        <x:v>Cloud Backup</x:v>
      </x:c>
      <x:c r="B8" t="str">
        <x:v>2026-07</x:v>
      </x:c>
      <x:c r="C8" t="str">
        <x:v>99.95%</x:v>
      </x:c>
      <x:c r="D8" t="str">
        <x:v>99.90%</x:v>
      </x:c>
      <x:c r="E8" t="str">
        <x:v>1</x:v>
      </x:c>
      <x:c r="F8" t="str">
        <x:v>Met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38" hidden="0" customWidth="1"/>
    <x:col min="4" max="4" width="12" hidden="0" customWidth="1"/>
    <x:col min="5" max="5" width="18" hidden="0" customWidth="1"/>
    <x:col min="6" max="6" width="20" hidden="0" customWidth="1"/>
    <x:col min="7" max="7" width="26" hidden="0" customWidth="1"/>
  </x:cols>
  <x:sheetData>
    <x:row r="1">
      <x:c r="A1" s="4" t="str">
        <x:v>Alert Name</x:v>
      </x:c>
      <x:c r="B1" s="4" t="str">
        <x:v>Domain</x:v>
      </x:c>
      <x:c r="C1" s="4" t="str">
        <x:v>Threshold</x:v>
      </x:c>
      <x:c r="D1" s="4" t="str">
        <x:v>Severity</x:v>
      </x:c>
      <x:c r="E1" s="4" t="str">
        <x:v>Evaluation Window</x:v>
      </x:c>
      <x:c r="F1" s="4" t="str">
        <x:v>Response Objective</x:v>
      </x:c>
      <x:c r="G1" s="4" t="str">
        <x:v>Runbook</x:v>
      </x:c>
    </x:row>
    <x:row r="2">
      <x:c r="A2" s="14" t="str">
        <x:v>Endpoint Offline</x:v>
      </x:c>
      <x:c r="B2" s="14" t="str">
        <x:v>Endpoint</x:v>
      </x:c>
      <x:c r="C2" s="14" t="str">
        <x:v>Device unavailable &gt;24 hours</x:v>
      </x:c>
      <x:c r="D2" s="14" t="str">
        <x:v>Low</x:v>
      </x:c>
      <x:c r="E2" s="14" t="str">
        <x:v>24 hours</x:v>
      </x:c>
      <x:c r="F2" s="14" t="str">
        <x:v>4 business hours</x:v>
      </x:c>
      <x:c r="G2" s="14" t="str">
        <x:v>alert-response-runbook.md</x:v>
      </x:c>
    </x:row>
    <x:row r="3">
      <x:c r="A3" s="14" t="str">
        <x:v>Disk Capacity</x:v>
      </x:c>
      <x:c r="B3" s="14" t="str">
        <x:v>Endpoint</x:v>
      </x:c>
      <x:c r="C3" s="14" t="str">
        <x:v>Free space &lt;10%</x:v>
      </x:c>
      <x:c r="D3" s="14" t="str">
        <x:v>High</x:v>
      </x:c>
      <x:c r="E3" s="14" t="str">
        <x:v>15 minutes</x:v>
      </x:c>
      <x:c r="F3" s="14" t="str">
        <x:v>30 minutes</x:v>
      </x:c>
      <x:c r="G3" s="14" t="str">
        <x:v>alert-response-runbook.md</x:v>
      </x:c>
    </x:row>
    <x:row r="4">
      <x:c r="A4" s="14" t="str">
        <x:v>Defender Detection</x:v>
      </x:c>
      <x:c r="B4" s="14" t="str">
        <x:v>Security</x:v>
      </x:c>
      <x:c r="C4" s="14" t="str">
        <x:v>High or severe malware detection</x:v>
      </x:c>
      <x:c r="D4" s="14" t="str">
        <x:v>Critical</x:v>
      </x:c>
      <x:c r="E4" s="14" t="str">
        <x:v>Immediate</x:v>
      </x:c>
      <x:c r="F4" s="14" t="str">
        <x:v>10 minutes</x:v>
      </x:c>
      <x:c r="G4" s="14" t="str">
        <x:v>alert-response-runbook.md</x:v>
      </x:c>
    </x:row>
    <x:row r="5">
      <x:c r="A5" s="14" t="str">
        <x:v>BitLocker Status</x:v>
      </x:c>
      <x:c r="B5" s="14" t="str">
        <x:v>Endpoint</x:v>
      </x:c>
      <x:c r="C5" s="14" t="str">
        <x:v>Protection suspended &gt;15 minutes</x:v>
      </x:c>
      <x:c r="D5" s="14" t="str">
        <x:v>High</x:v>
      </x:c>
      <x:c r="E5" s="14" t="str">
        <x:v>15 minutes</x:v>
      </x:c>
      <x:c r="F5" s="14" t="str">
        <x:v>30 minutes</x:v>
      </x:c>
      <x:c r="G5" s="14" t="str">
        <x:v>alert-response-runbook.md</x:v>
      </x:c>
    </x:row>
    <x:row r="6">
      <x:c r="A6" s="14" t="str">
        <x:v>Intune Compliance</x:v>
      </x:c>
      <x:c r="B6" s="14" t="str">
        <x:v>Endpoint</x:v>
      </x:c>
      <x:c r="C6" s="14" t="str">
        <x:v>Device noncompliant &gt;4 hours</x:v>
      </x:c>
      <x:c r="D6" s="14" t="str">
        <x:v>Medium</x:v>
      </x:c>
      <x:c r="E6" s="14" t="str">
        <x:v>4 hours</x:v>
      </x:c>
      <x:c r="F6" s="14" t="str">
        <x:v>4 hours</x:v>
      </x:c>
      <x:c r="G6" s="14" t="str">
        <x:v>alert-response-runbook.md</x:v>
      </x:c>
    </x:row>
    <x:row r="7">
      <x:c r="A7" s="14" t="str">
        <x:v>VPN Failure Rate</x:v>
      </x:c>
      <x:c r="B7" s="14" t="str">
        <x:v>Network</x:v>
      </x:c>
      <x:c r="C7" s="14" t="str">
        <x:v>Failures &gt;20% of attempts</x:v>
      </x:c>
      <x:c r="D7" s="14" t="str">
        <x:v>High</x:v>
      </x:c>
      <x:c r="E7" s="14" t="str">
        <x:v>10 minutes</x:v>
      </x:c>
      <x:c r="F7" s="14" t="str">
        <x:v>30 minutes</x:v>
      </x:c>
      <x:c r="G7" s="14" t="str">
        <x:v>alert-response-runbook.md</x:v>
      </x:c>
    </x:row>
    <x:row r="8">
      <x:c r="A8" s="14" t="str">
        <x:v>Identity Risk</x:v>
      </x:c>
      <x:c r="B8" s="14" t="str">
        <x:v>Identity</x:v>
      </x:c>
      <x:c r="C8" s="14" t="str">
        <x:v>Lockouts &gt;10 in 5 minutes or risky sign-in</x:v>
      </x:c>
      <x:c r="D8" s="14" t="str">
        <x:v>High</x:v>
      </x:c>
      <x:c r="E8" s="14" t="str">
        <x:v>5 minutes</x:v>
      </x:c>
      <x:c r="F8" s="14" t="str">
        <x:v>15 minutes</x:v>
      </x:c>
      <x:c r="G8" s="14" t="str">
        <x:v>alert-response-runbook.md</x:v>
      </x:c>
    </x:row>
    <x:row r="9">
      <x:c r="A9" s="14" t="str">
        <x:v>M365 Service Health</x:v>
      </x:c>
      <x:c r="B9" s="14" t="str">
        <x:v>Microsoft 365</x:v>
      </x:c>
      <x:c r="C9" s="14" t="str">
        <x:v>Service incident or correlated user failures</x:v>
      </x:c>
      <x:c r="D9" s="14" t="str">
        <x:v>High</x:v>
      </x:c>
      <x:c r="E9" s="14" t="str">
        <x:v>5 minutes</x:v>
      </x:c>
      <x:c r="F9" s="14" t="str">
        <x:v>15 minutes</x:v>
      </x:c>
      <x:c r="G9" s="14" t="str">
        <x:v>alert-response-runbook.md</x:v>
      </x:c>
    </x:row>
    <x:row r="10">
      <x:c r="A10" s="14" t="str">
        <x:v>Print Queue Backlog</x:v>
      </x:c>
      <x:c r="B10" s="14" t="str">
        <x:v>Print</x:v>
      </x:c>
      <x:c r="C10" s="14" t="str">
        <x:v>Queue &gt;40 jobs or oldest job &gt;15 minutes</x:v>
      </x:c>
      <x:c r="D10" s="14" t="str">
        <x:v>Medium</x:v>
      </x:c>
      <x:c r="E10" s="14" t="str">
        <x:v>10 minutes</x:v>
      </x:c>
      <x:c r="F10" s="14" t="str">
        <x:v>1 hour</x:v>
      </x:c>
      <x:c r="G10" s="14" t="str">
        <x:v>alert-response-runbook.md</x:v>
      </x:c>
    </x:row>
    <x:row r="11">
      <x:c r="A11" s="14" t="str">
        <x:v>File Share Availability</x:v>
      </x:c>
      <x:c r="B11" s="14" t="str">
        <x:v>Service</x:v>
      </x:c>
      <x:c r="C11" s="14" t="str">
        <x:v>Two consecutive failed synthetic checks</x:v>
      </x:c>
      <x:c r="D11" s="14" t="str">
        <x:v>Critical</x:v>
      </x:c>
      <x:c r="E11" s="14" t="str">
        <x:v>2 minutes</x:v>
      </x:c>
      <x:c r="F11" s="14" t="str">
        <x:v>10 minutes</x:v>
      </x:c>
      <x:c r="G11" s="14" t="str">
        <x:v>alert-response-runbook.md</x:v>
      </x:c>
    </x:row>
    <x:row r="12">
      <x:c r="A12" s="14" t="str">
        <x:v>Backup Failure</x:v>
      </x:c>
      <x:c r="B12" s="14" t="str">
        <x:v>Cloud</x:v>
      </x:c>
      <x:c r="C12" s="14" t="str">
        <x:v>Scheduled job failed or missed</x:v>
      </x:c>
      <x:c r="D12" s="14" t="str">
        <x:v>High</x:v>
      </x:c>
      <x:c r="E12" s="14" t="str">
        <x:v>Immediate</x:v>
      </x:c>
      <x:c r="F12" s="14" t="str">
        <x:v>30 minutes</x:v>
      </x:c>
      <x:c r="G12" s="14" t="str">
        <x:v>alert-response-runbook.md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24" hidden="0" customWidth="1"/>
    <x:col min="4" max="4" width="18" hidden="0" customWidth="1"/>
    <x:col min="5" max="5" width="24" hidden="0" customWidth="1"/>
    <x:col min="6" max="6" width="22" hidden="0" customWidth="1"/>
  </x:cols>
  <x:sheetData>
    <x:row r="1">
      <x:c r="A1" s="3" t="str">
        <x:v>Severity</x:v>
      </x:c>
      <x:c r="B1" s="3" t="str">
        <x:v>Primary Queue</x:v>
      </x:c>
      <x:c r="C1" s="3" t="str">
        <x:v>Initial Owner</x:v>
      </x:c>
      <x:c r="D1" s="3" t="str">
        <x:v>Escalation Time</x:v>
      </x:c>
      <x:c r="E1" s="3" t="str">
        <x:v>Management Notification</x:v>
      </x:c>
      <x:c r="F1" s="3" t="str">
        <x:v>Update Frequency</x:v>
      </x:c>
    </x:row>
    <x:row r="2">
      <x:c r="A2" t="str">
        <x:v>Critical</x:v>
      </x:c>
      <x:c r="B2" t="str">
        <x:v>Major Incident</x:v>
      </x:c>
      <x:c r="C2" t="str">
        <x:v>On-call Incident Commander</x:v>
      </x:c>
      <x:c r="D2" t="str">
        <x:v>10 minutes</x:v>
      </x:c>
      <x:c r="E2" t="str">
        <x:v>Immediately</x:v>
      </x:c>
      <x:c r="F2" t="str">
        <x:v>Every 15 minutes</x:v>
      </x:c>
    </x:row>
    <x:row r="3">
      <x:c r="A3" t="str">
        <x:v>High</x:v>
      </x:c>
      <x:c r="B3" t="str">
        <x:v>Infrastructure / Service Desk</x:v>
      </x:c>
      <x:c r="C3" t="str">
        <x:v>Assigned Technical Lead</x:v>
      </x:c>
      <x:c r="D3" t="str">
        <x:v>30 minutes</x:v>
      </x:c>
      <x:c r="E3" t="str">
        <x:v>Within 30 minutes</x:v>
      </x:c>
      <x:c r="F3" t="str">
        <x:v>Every 30 minutes</x:v>
      </x:c>
    </x:row>
    <x:row r="4">
      <x:c r="A4" t="str">
        <x:v>Medium</x:v>
      </x:c>
      <x:c r="B4" t="str">
        <x:v>Service Desk</x:v>
      </x:c>
      <x:c r="C4" t="str">
        <x:v>Queue Owner</x:v>
      </x:c>
      <x:c r="D4" t="str">
        <x:v>2 hours</x:v>
      </x:c>
      <x:c r="E4" t="str">
        <x:v>As required</x:v>
      </x:c>
      <x:c r="F4" t="str">
        <x:v>At material change</x:v>
      </x:c>
    </x:row>
    <x:row r="5">
      <x:c r="A5" t="str">
        <x:v>Low</x:v>
      </x:c>
      <x:c r="B5" t="str">
        <x:v>Service Desk</x:v>
      </x:c>
      <x:c r="C5" t="str">
        <x:v>Assigned Analyst</x:v>
      </x:c>
      <x:c r="D5" t="str">
        <x:v>1 business day</x:v>
      </x:c>
      <x:c r="E5" t="str">
        <x:v>No</x:v>
      </x:c>
      <x:c r="F5" t="str">
        <x:v>At closure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0" hidden="0" customWidth="1"/>
    <x:col min="3" max="3" width="14" hidden="0" customWidth="1"/>
  </x:cols>
  <x:sheetData>
    <x:row r="1">
      <x:c r="A1" s="3" t="str">
        <x:v>Validation Check</x:v>
      </x:c>
      <x:c r="B1" s="3" t="str">
        <x:v>Expected</x:v>
      </x:c>
      <x:c r="C1" s="3" t="str">
        <x:v>Result</x:v>
      </x:c>
    </x:row>
    <x:row r="2">
      <x:c r="A2" t="str">
        <x:v>Unique alert IDs</x:v>
      </x:c>
      <x:c r="B2" t="str">
        <x:v>10 unique</x:v>
      </x:c>
      <x:c r="C2" t="str">
        <x:v>PASS</x:v>
      </x:c>
    </x:row>
    <x:row r="3">
      <x:c r="A3" t="str">
        <x:v>All alerts have severity</x:v>
      </x:c>
      <x:c r="B3" t="str">
        <x:v>No blanks</x:v>
      </x:c>
      <x:c r="C3" t="str">
        <x:v>PASS</x:v>
      </x:c>
    </x:row>
    <x:row r="4">
      <x:c r="A4" t="str">
        <x:v>All alerts have owners</x:v>
      </x:c>
      <x:c r="B4" t="str">
        <x:v>No blanks</x:v>
      </x:c>
      <x:c r="C4" t="str">
        <x:v>PASS</x:v>
      </x:c>
    </x:row>
    <x:row r="5">
      <x:c r="A5" t="str">
        <x:v>Closed alerts have resolution details</x:v>
      </x:c>
      <x:c r="B5" t="str">
        <x:v>100%</x:v>
      </x:c>
      <x:c r="C5" t="str">
        <x:v>PASS</x:v>
      </x:c>
    </x:row>
    <x:row r="6">
      <x:c r="A6" t="str">
        <x:v>Critical and high alerts link to incidents</x:v>
      </x:c>
      <x:c r="B6" t="str">
        <x:v>100%</x:v>
      </x:c>
      <x:c r="C6" t="str">
        <x:v>PASS</x:v>
      </x:c>
    </x:row>
    <x:row r="7">
      <x:c r="A7" t="str">
        <x:v>Preventive action documented</x:v>
      </x:c>
      <x:c r="B7" t="str">
        <x:v>100%</x:v>
      </x:c>
      <x:c r="C7" t="str">
        <x:v>PASS</x:v>
      </x:c>
    </x:row>
    <x:row r="8">
      <x:c r="A8" t="str">
        <x:v>Dashboard formulas linked to registers</x:v>
      </x:c>
      <x:c r="B8" t="str">
        <x:v>No hardcoded KPI cards</x:v>
      </x:c>
      <x:c r="C8" t="str">
        <x:v>PASS</x:v>
      </x:c>
    </x:row>
    <x:row r="9">
      <x:c r="A9" t="str">
        <x:v>Charts linked to workbook ranges</x:v>
      </x:c>
      <x:c r="B9" t="str">
        <x:v>4 charts</x:v>
      </x:c>
      <x:c r="C9" t="str">
        <x:v>PASS</x:v>
      </x:c>
    </x:row>
  </x:sheetData>
  <x:pageMargins left="0.7" right="0.7" top="0.75" bottom="0.75" header="0.3" footer="0.3"/>
</x:worksheet>
</file>