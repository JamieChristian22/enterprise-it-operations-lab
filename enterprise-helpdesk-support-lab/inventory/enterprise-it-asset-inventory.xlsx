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954a46d50b44264" /></Relationships>
</file>

<file path=xl/workbook.xml><?xml version="1.0" encoding="utf-8"?>
<x:workbook xmlns:x="http://schemas.openxmlformats.org/spreadsheetml/2006/main">
  <x:sheets>
    <x:sheet xmlns:r="http://schemas.openxmlformats.org/officeDocument/2006/relationships" name="Inventory Dashboard" sheetId="1" r:id="Re77b461cbdd9466f"/>
    <x:sheet xmlns:r="http://schemas.openxmlformats.org/officeDocument/2006/relationships" name="Asset Register" sheetId="2" r:id="R3439dad6a9e44785"/>
    <x:sheet xmlns:r="http://schemas.openxmlformats.org/officeDocument/2006/relationships" name="Assignments" sheetId="3" r:id="R30bebe1d01c94d92"/>
    <x:sheet xmlns:r="http://schemas.openxmlformats.org/officeDocument/2006/relationships" name="Repairs" sheetId="4" r:id="R3856a64a90cb411f"/>
    <x:sheet xmlns:r="http://schemas.openxmlformats.org/officeDocument/2006/relationships" name="Software Licenses" sheetId="5" r:id="Ra0c794dbd8a042ab"/>
    <x:sheet xmlns:r="http://schemas.openxmlformats.org/officeDocument/2006/relationships" name="Warranty Tracker" sheetId="6" r:id="R206761e72d544579"/>
    <x:sheet xmlns:r="http://schemas.openxmlformats.org/officeDocument/2006/relationships" name="Disposal Register" sheetId="7" r:id="R6bac65ac3cd34f3d"/>
    <x:sheet xmlns:r="http://schemas.openxmlformats.org/officeDocument/2006/relationships" name="Audit Findings" sheetId="8" r:id="R647cb4096ee94a44"/>
    <x:sheet xmlns:r="http://schemas.openxmlformats.org/officeDocument/2006/relationships" name="Data Dictionary" sheetId="9" r:id="Red32f1b0e76646e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00"/>
  </x:numFmts>
  <x:fonts count="5">
    <x:font>
      <x:sz val="11"/>
      <x:name val="Carlito"/>
    </x:font>
    <x:font>
      <x:b/>
      <x:sz val="11"/>
      <x:color rgb="FFFFFFFF"/>
      <x:name val="Carlito"/>
    </x:font>
    <x:font>
      <x:b/>
      <x:sz val="20"/>
      <x:color rgb="FFFFFFFF"/>
      <x:name val="Carlito"/>
    </x:font>
    <x:font>
      <x:i/>
      <x:sz val="11"/>
      <x:color rgb="FF334155"/>
      <x:name val="Carlito"/>
    </x:font>
    <x:font>
      <x:b/>
      <x:sz val="13"/>
      <x:color rgb="FF0F172A"/>
      <x:name val="Carlito"/>
    </x:font>
  </x:fonts>
  <x:fills count="6">
    <x:fill>
      <x:patternFill patternType="none"/>
    </x:fill>
    <x:fill>
      <x:patternFill patternType="gray125"/>
    </x:fill>
    <x:fill>
      <x:patternFill patternType="solid">
        <x:fgColor rgb="FF0F172A"/>
      </x:patternFill>
    </x:fill>
    <x:fill>
      <x:patternFill patternType="solid">
        <x:fgColor rgb="FFE2E8F0"/>
      </x:patternFill>
    </x:fill>
    <x:fill>
      <x:patternFill patternType="solid">
        <x:fgColor rgb="FFF8FAFC"/>
      </x:patternFill>
    </x:fill>
    <x:fill>
      <x:patternFill patternType="solid">
        <x:fgColor rgb="FF334155"/>
      </x:patternFill>
    </x:fill>
  </x:fills>
  <x:borders count="2">
    <x:border/>
    <x:border/>
  </x:borders>
  <x:cellStyleXfs count="1">
    <x:xf numFmtId="0" fontId="0" fillId="0" borderId="0"/>
  </x:cellStyleXfs>
  <x:cellXfs count="5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0" xfId="0" applyNumberFormat="1" applyFont="1" applyFill="1" applyBorder="1"/>
    <x:xf numFmtId="201" fontId="0" fillId="0" borderId="1" xfId="0" applyNumberFormat="1" applyFont="1" applyFill="1" applyBorder="1"/>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center"/>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horizont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4" fillId="4" borderId="0" xfId="0" applyNumberFormat="1" applyFont="1" applyFill="1" applyBorder="1" applyAlignment="1">
      <x:alignment horizontal="center" vertic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horizontal="center" wrapText="1"/>
    </x:xf>
    <x:xf numFmtId="0" fontId="4" fillId="4" borderId="1" xfId="0" applyNumberFormat="1" applyFont="1" applyFill="1" applyBorder="1" applyAlignment="1">
      <x:alignment horizontal="center" vertical="center" wrapText="1"/>
    </x:xf>
    <x:xf numFmtId="0" fontId="0" fillId="5" borderId="0" xfId="0" applyNumberFormat="1" applyFont="1" applyFill="1" applyBorder="1"/>
    <x:xf numFmtId="0" fontId="1" fillId="5" borderId="0" xfId="0" applyNumberFormat="1" applyFont="1" applyFill="1" applyBorder="1"/>
    <x:xf numFmtId="0" fontId="0" fillId="5" borderId="1" xfId="0" applyNumberFormat="1" applyFont="1" applyFill="1" applyBorder="1"/>
    <x:xf numFmtId="0" fontId="1" fillId="5" borderId="1"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top" wrapText="1"/>
    </x:xf>
    <x:xf numFmtId="0" fontId="0" fillId="4" borderId="1" xfId="0" applyNumberFormat="1" applyFont="1" applyFill="1" applyBorder="1" applyAlignment="1">
      <x:alignment wrapText="1"/>
    </x:xf>
    <x:xf numFmtId="0" fontId="0" fillId="4"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1674b6498b94f15" /><Relationship Type="http://schemas.openxmlformats.org/officeDocument/2006/relationships/theme" Target="/xl/theme/theme1.xml" Id="Rf529e089322f4416" /><Relationship Type="http://schemas.openxmlformats.org/officeDocument/2006/relationships/sharedStrings" Target="/xl/sharedStrings.xml" Id="Rc2529c7116304785" /><Relationship Type="http://schemas.openxmlformats.org/officeDocument/2006/relationships/worksheet" Target="/xl/worksheets/sheet1.xml" Id="Re77b461cbdd9466f" /><Relationship Type="http://schemas.openxmlformats.org/officeDocument/2006/relationships/worksheet" Target="/xl/worksheets/sheet2.xml" Id="R3439dad6a9e44785" /><Relationship Type="http://schemas.openxmlformats.org/officeDocument/2006/relationships/worksheet" Target="/xl/worksheets/sheet3.xml" Id="R30bebe1d01c94d92" /><Relationship Type="http://schemas.openxmlformats.org/officeDocument/2006/relationships/worksheet" Target="/xl/worksheets/sheet4.xml" Id="R3856a64a90cb411f" /><Relationship Type="http://schemas.openxmlformats.org/officeDocument/2006/relationships/worksheet" Target="/xl/worksheets/sheet5.xml" Id="Ra0c794dbd8a042ab" /><Relationship Type="http://schemas.openxmlformats.org/officeDocument/2006/relationships/worksheet" Target="/xl/worksheets/sheet6.xml" Id="R206761e72d544579" /><Relationship Type="http://schemas.openxmlformats.org/officeDocument/2006/relationships/worksheet" Target="/xl/worksheets/sheet7.xml" Id="R6bac65ac3cd34f3d" /><Relationship Type="http://schemas.openxmlformats.org/officeDocument/2006/relationships/worksheet" Target="/xl/worksheets/sheet8.xml" Id="R647cb4096ee94a44" /><Relationship Type="http://schemas.openxmlformats.org/officeDocument/2006/relationships/worksheet" Target="/xl/worksheets/sheet9.xml" Id="Red32f1b0e76646ef" /></Relationships>
</file>

<file path=xl/drawings/_rels/drawing1.xml.rels>&#65279;<?xml version="1.0" encoding="utf-8"?><Relationships xmlns="http://schemas.openxmlformats.org/package/2006/relationships"><Relationship Type="http://schemas.openxmlformats.org/officeDocument/2006/relationships/chart" Target="/xl/drawings/charts/chart1.xml" Id="R44d1e32fac9c4007" /><Relationship Type="http://schemas.openxmlformats.org/officeDocument/2006/relationships/chart" Target="/xl/drawings/charts/chart2.xml" Id="Ref187b5e52764f10" /><Relationship Type="http://schemas.openxmlformats.org/officeDocument/2006/relationships/chart" Target="/xl/drawings/charts/chart3.xml" Id="Rd4396d78ec8d4003" /><Relationship Type="http://schemas.openxmlformats.org/officeDocument/2006/relationships/chart" Target="/xl/drawings/charts/chart4.xml" Id="R8f21b00aba054ab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Assets by Type</a:t>
            </a:r>
          </a:p>
        </c:rich>
      </c:tx>
      <c:overlay val="0"/>
    </c:title>
    <c:autoTitleDeleted val="0"/>
    <c:plotArea>
      <c:layout/>
      <c:barChart>
        <c:barDir val="col"/>
        <c:grouping val="clustered"/>
        <c:varyColors val="0"/>
        <c:ser>
          <c:idx val="0"/>
          <c:order val="0"/>
          <c:tx>
            <c:v>Count</c:v>
          </c:tx>
          <c:cat>
            <c:strRef>
              <c:f>'Inventory Dashboard'!$A$15:$A$20</c:f>
              <c:strCache>
                <c:ptCount val="0"/>
              </c:strCache>
            </c:strRef>
          </c:cat>
          <c:val>
            <c:numRef>
              <c:f>'Inventory Dashboard'!$B$15:$B$20</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Assets by Status</a:t>
            </a:r>
          </a:p>
        </c:rich>
      </c:tx>
      <c:overlay val="0"/>
    </c:title>
    <c:autoTitleDeleted val="0"/>
    <c:plotArea>
      <c:layout/>
      <c:barChart>
        <c:barDir val="col"/>
        <c:grouping val="clustered"/>
        <c:varyColors val="0"/>
        <c:ser>
          <c:idx val="0"/>
          <c:order val="0"/>
          <c:tx>
            <c:v>Count</c:v>
          </c:tx>
          <c:cat>
            <c:strRef>
              <c:f>'Inventory Dashboard'!$D$15:$D$19</c:f>
              <c:strCache>
                <c:ptCount val="0"/>
              </c:strCache>
            </c:strRef>
          </c:cat>
          <c:val>
            <c:numRef>
              <c:f>'Inventory Dashboard'!$E$15:$E$19</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Assigned Assets by Department</a:t>
            </a:r>
          </a:p>
        </c:rich>
      </c:tx>
      <c:overlay val="0"/>
    </c:title>
    <c:autoTitleDeleted val="0"/>
    <c:plotArea>
      <c:layout/>
      <c:barChart>
        <c:barDir val="col"/>
        <c:varyColors val="0"/>
        <c:ser>
          <c:idx val="0"/>
          <c:order val="0"/>
          <c:tx>
            <c:v>Assigned Assets</c:v>
          </c:tx>
          <c:cat>
            <c:strRef>
              <c:f>'Inventory Dashboard'!$G$15:$G$18</c:f>
              <c:strCache>
                <c:ptCount val="0"/>
              </c:strCache>
            </c:strRef>
          </c:cat>
          <c:val>
            <c:numRef>
              <c:f>'Inventory Dashboard'!$H$15:$H$18</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Warranty Exposure</a:t>
            </a:r>
          </a:p>
        </c:rich>
      </c:tx>
      <c:overlay val="0"/>
    </c:title>
    <c:autoTitleDeleted val="0"/>
    <c:plotArea>
      <c:layout/>
      <c:barChart>
        <c:barDir val="col"/>
        <c:grouping val="clustered"/>
        <c:varyColors val="0"/>
        <c:ser>
          <c:idx val="0"/>
          <c:order val="0"/>
          <c:tx>
            <c:v>Assets</c:v>
          </c:tx>
          <c:cat>
            <c:strRef>
              <c:f>'Inventory Dashboard'!$J$15:$J$18</c:f>
              <c:strCache>
                <c:ptCount val="0"/>
              </c:strCache>
            </c:strRef>
          </c:cat>
          <c:val>
            <c:numRef>
              <c:f>'Inventory Dashboard'!$K$15:$K$18</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21</xdr:row>
      <xdr:rowOff>0</xdr:rowOff>
    </xdr:from>
    <xdr:to>
      <xdr:col>6</xdr:col>
      <xdr:colOff>0</xdr:colOff>
      <xdr:row>38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4d1e32fac9c4007"/>
        </a:graphicData>
      </a:graphic>
    </xdr:graphicFrame>
    <xdr:clientData/>
  </xdr:twoCellAnchor>
  <xdr:twoCellAnchor>
    <xdr:from>
      <xdr:col>6</xdr:col>
      <xdr:colOff>0</xdr:colOff>
      <xdr:row>21</xdr:row>
      <xdr:rowOff>0</xdr:rowOff>
    </xdr:from>
    <xdr:to>
      <xdr:col>12</xdr:col>
      <xdr:colOff>0</xdr:colOff>
      <xdr:row>38</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f187b5e52764f10"/>
        </a:graphicData>
      </a:graphic>
    </xdr:graphicFrame>
    <xdr:clientData/>
  </xdr:twoCellAnchor>
  <xdr:twoCellAnchor>
    <xdr:from>
      <xdr:col>0</xdr:col>
      <xdr:colOff>0</xdr:colOff>
      <xdr:row>39</xdr:row>
      <xdr:rowOff>0</xdr:rowOff>
    </xdr:from>
    <xdr:to>
      <xdr:col>6</xdr:col>
      <xdr:colOff>0</xdr:colOff>
      <xdr:row>56</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4396d78ec8d4003"/>
        </a:graphicData>
      </a:graphic>
    </xdr:graphicFrame>
    <xdr:clientData/>
  </xdr:twoCellAnchor>
  <xdr:twoCellAnchor>
    <xdr:from>
      <xdr:col>6</xdr:col>
      <xdr:colOff>0</xdr:colOff>
      <xdr:row>39</xdr:row>
      <xdr:rowOff>0</xdr:rowOff>
    </xdr:from>
    <xdr:to>
      <xdr:col>12</xdr:col>
      <xdr:colOff>0</xdr:colOff>
      <xdr:row>56</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f21b00aba054ab8"/>
        </a:graphicData>
      </a:graphic>
    </xdr:graphicFrame>
    <xdr:clientData/>
  </xdr:twoCellAnchor>
</xdr:wsDr>
</file>

<file path=xl/tables/table1.xml><?xml version="1.0" encoding="utf-8"?>
<x:table xmlns:x="http://schemas.openxmlformats.org/spreadsheetml/2006/main" id="1" name="AssetRegisterTable" displayName="AssetRegisterTable" ref="A1:Q16" headerRowCount="1">
  <x:tableColumns count="17">
    <x:tableColumn id="1" name="Asset ID"/>
    <x:tableColumn id="2" name="Serial Number"/>
    <x:tableColumn id="3" name="Asset Type"/>
    <x:tableColumn id="4" name="Manufacturer"/>
    <x:tableColumn id="5" name="Model"/>
    <x:tableColumn id="6" name="Operating System"/>
    <x:tableColumn id="7" name="Assigned User"/>
    <x:tableColumn id="8" name="Department"/>
    <x:tableColumn id="9" name="Location"/>
    <x:tableColumn id="10" name="Purchase Date"/>
    <x:tableColumn id="11" name="Warranty Expiration"/>
    <x:tableColumn id="12" name="Status"/>
    <x:tableColumn id="13" name="Encryption"/>
    <x:tableColumn id="14" name="Security Status"/>
    <x:tableColumn id="15" name="Last Audit Date"/>
    <x:tableColumn id="16" name="Condition"/>
    <x:tableColumn id="17" name="Support Coverag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86085e544ef342fb" /></Relationships>
</file>

<file path=xl/worksheets/_rels/sheet2.xml.rels>&#65279;<?xml version="1.0" encoding="utf-8"?><Relationships xmlns="http://schemas.openxmlformats.org/package/2006/relationships"><Relationship Type="http://schemas.openxmlformats.org/officeDocument/2006/relationships/table" Target="/xl/tables/table1.xml" Id="R5094508ffa104314" /></Relationships>
</file>

<file path=xl/worksheets/sheet1.xml><?xml version="1.0" encoding="utf-8"?>
<x:worksheet xmlns:x="http://schemas.openxmlformats.org/spreadsheetml/2006/main">
  <x:sheetFormatPr defaultRowHeight="15"/>
  <x:cols>
    <x:col min="1" max="1" width="18" hidden="0" customWidth="1"/>
    <x:col min="2" max="2" width="14" hidden="0" customWidth="1"/>
    <x:col min="3" max="3" width="4" hidden="0" customWidth="1"/>
    <x:col min="4" max="4" width="18" hidden="0" customWidth="1"/>
    <x:col min="5" max="5" width="14" hidden="0" customWidth="1"/>
    <x:col min="6" max="6" width="4" hidden="0" customWidth="1"/>
    <x:col min="7" max="7" width="20" hidden="0" customWidth="1"/>
    <x:col min="8" max="8" width="14" hidden="0" customWidth="1"/>
    <x:col min="9" max="9" width="4" hidden="0" customWidth="1"/>
    <x:col min="10" max="10" width="18" hidden="0" customWidth="1"/>
    <x:col min="11" max="11" width="14" hidden="0" customWidth="1"/>
    <x:col min="12" max="12" width="4" hidden="0" customWidth="1"/>
  </x:cols>
  <x:sheetData>
    <x:row r="1">
      <x:c r="A1" s="24" t="str">
        <x:v>Enterprise IT Asset Inventory Dashboard</x:v>
      </x:c>
      <x:c r="B1" s="24"/>
      <x:c r="C1" s="24"/>
      <x:c r="D1" s="24"/>
      <x:c r="E1" s="24"/>
      <x:c r="F1" s="24"/>
      <x:c r="G1" s="24"/>
      <x:c r="H1" s="24"/>
      <x:c r="I1" s="24"/>
      <x:c r="J1" s="24"/>
      <x:c r="K1" s="24"/>
      <x:c r="L1" s="24"/>
    </x:row>
    <x:row r="2">
      <x:c r="A2" s="24"/>
      <x:c r="B2" s="24"/>
      <x:c r="C2" s="24"/>
      <x:c r="D2" s="24"/>
      <x:c r="E2" s="24"/>
      <x:c r="F2" s="24"/>
      <x:c r="G2" s="24"/>
      <x:c r="H2" s="24"/>
      <x:c r="I2" s="24"/>
      <x:c r="J2" s="24"/>
      <x:c r="K2" s="24"/>
      <x:c r="L2" s="24"/>
    </x:row>
    <x:row r="3">
      <x:c r="A3" s="30" t="str">
        <x:v>Asset lifecycle, assignment, warranty, repair, compliance, and disposal overview | As of August 5, 2026</x:v>
      </x:c>
      <x:c r="B3" s="30"/>
      <x:c r="C3" s="30"/>
      <x:c r="D3" s="30"/>
      <x:c r="E3" s="30"/>
      <x:c r="F3" s="30"/>
      <x:c r="G3" s="30"/>
      <x:c r="H3" s="30"/>
      <x:c r="I3" s="30"/>
      <x:c r="J3" s="30"/>
      <x:c r="K3" s="30"/>
      <x:c r="L3" s="30"/>
    </x:row>
    <x:row r="5">
      <x:c r="A5" s="38" t="str">
        <x:f>"Total Assets"&amp;CHAR(10)&amp;TEXT(COUNTA('Asset Register'!A2:A16),"0")</x:f>
        <x:v>Total Assets
15</x:v>
      </x:c>
      <x:c r="B5" s="38"/>
      <x:c r="C5" s="38"/>
      <x:c r="D5" s="38" t="str">
        <x:f>"Assigned"&amp;CHAR(10)&amp;TEXT(COUNTIF('Asset Register'!L2:L16,"Assigned"),"0")</x:f>
        <x:v>Assigned
12</x:v>
      </x:c>
      <x:c r="E5" s="38"/>
      <x:c r="F5" s="38"/>
      <x:c r="G5" s="38" t="str">
        <x:f>"In Stock"&amp;CHAR(10)&amp;TEXT(COUNTIF('Asset Register'!L2:L16,"In Stock"),"0")</x:f>
        <x:v>In Stock
1</x:v>
      </x:c>
      <x:c r="H5" s="38"/>
      <x:c r="I5" s="38"/>
      <x:c r="J5" s="38" t="str">
        <x:f>"Repair / Disposal"&amp;CHAR(10)&amp;TEXT(COUNTIF('Asset Register'!L2:L16,"Repair")+COUNTIF('Asset Register'!L2:L16,"Pending Disposal"),"0")</x:f>
        <x:v>Repair / Disposal
2</x:v>
      </x:c>
      <x:c r="K5" s="38"/>
      <x:c r="L5" s="38"/>
    </x:row>
    <x:row r="6">
      <x:c r="A6" s="38"/>
      <x:c r="B6" s="38"/>
      <x:c r="C6" s="38"/>
      <x:c r="D6" s="38"/>
      <x:c r="E6" s="38"/>
      <x:c r="F6" s="38"/>
      <x:c r="G6" s="38"/>
      <x:c r="H6" s="38"/>
      <x:c r="I6" s="38"/>
      <x:c r="J6" s="38"/>
      <x:c r="K6" s="38"/>
      <x:c r="L6" s="38"/>
    </x:row>
    <x:row r="7">
      <x:c r="A7" s="38"/>
      <x:c r="B7" s="38"/>
      <x:c r="C7" s="38"/>
      <x:c r="D7" s="38"/>
      <x:c r="E7" s="38"/>
      <x:c r="F7" s="38"/>
      <x:c r="G7" s="38"/>
      <x:c r="H7" s="38"/>
      <x:c r="I7" s="38"/>
      <x:c r="J7" s="38"/>
      <x:c r="K7" s="38"/>
      <x:c r="L7" s="38"/>
    </x:row>
    <x:row r="9">
      <x:c r="A9" s="38" t="str">
        <x:f>"Encrypted Endpoints"&amp;CHAR(10)&amp;TEXT((COUNTIF('Asset Register'!M2:M16,"BitLocker Enabled")+COUNTIF('Asset Register'!M2:M16,"Device Encryption Enabled"))/(COUNTIF('Asset Register'!C2:C16,"Laptop")+COUNTIF('Asset Register'!C2:C16,"Desktop")+COUNTIF('Asset Register'!C2:C16,"Tablet")+COUNTIF('Asset Register'!C2:C16,"Mobile Phone")),"0.0%")</x:f>
        <x:v>Encrypted Endpoints
100.0%</x:v>
      </x:c>
      <x:c r="B9" s="38"/>
      <x:c r="C9" s="38"/>
      <x:c r="D9" s="38" t="str">
        <x:f>"Healthy Security"&amp;CHAR(10)&amp;TEXT((COUNTIF('Asset Register'!N2:N16,"Defender Healthy")+COUNTIF('Asset Register'!N2:N16,"MDM Compliant"))/(COUNTIF('Asset Register'!C2:C16,"Laptop")+COUNTIF('Asset Register'!C2:C16,"Desktop")+COUNTIF('Asset Register'!C2:C16,"Tablet")+COUNTIF('Asset Register'!C2:C16,"Mobile Phone")),"0.0%")</x:f>
        <x:v>Healthy Security
100.0%</x:v>
      </x:c>
      <x:c r="E9" s="38"/>
      <x:c r="F9" s="38"/>
      <x:c r="G9" s="38" t="str">
        <x:f>"Open Audit Findings"&amp;CHAR(10)&amp;TEXT(COUNTIF('Audit Findings'!I2:I5,"Open"),"0")</x:f>
        <x:v>Open Audit Findings
0</x:v>
      </x:c>
      <x:c r="H9" s="38"/>
      <x:c r="I9" s="38"/>
      <x:c r="J9" s="38" t="str">
        <x:f>"Annual License Cost"&amp;CHAR(10)&amp;TEXT(SUM('Software Licenses'!I2:I6),"$#,##0")</x:f>
        <x:v>Annual License Cost
$36,260</x:v>
      </x:c>
      <x:c r="K9" s="38"/>
      <x:c r="L9" s="38"/>
    </x:row>
    <x:row r="10">
      <x:c r="A10" s="38"/>
      <x:c r="B10" s="38"/>
      <x:c r="C10" s="38"/>
      <x:c r="D10" s="38"/>
      <x:c r="E10" s="38"/>
      <x:c r="F10" s="38"/>
      <x:c r="G10" s="38"/>
      <x:c r="H10" s="38"/>
      <x:c r="I10" s="38"/>
      <x:c r="J10" s="38"/>
      <x:c r="K10" s="38"/>
      <x:c r="L10" s="38"/>
    </x:row>
    <x:row r="11">
      <x:c r="A11" s="38"/>
      <x:c r="B11" s="38"/>
      <x:c r="C11" s="38"/>
      <x:c r="D11" s="38"/>
      <x:c r="E11" s="38"/>
      <x:c r="F11" s="38"/>
      <x:c r="G11" s="38"/>
      <x:c r="H11" s="38"/>
      <x:c r="I11" s="38"/>
      <x:c r="J11" s="38"/>
      <x:c r="K11" s="38"/>
      <x:c r="L11" s="38"/>
    </x:row>
    <x:row r="14">
      <x:c r="A14" s="45" t="str">
        <x:v>Asset Type</x:v>
      </x:c>
      <x:c r="B14" s="45" t="str">
        <x:v>Count</x:v>
      </x:c>
      <x:c r="D14" s="45" t="str">
        <x:v>Status</x:v>
      </x:c>
      <x:c r="E14" s="45" t="str">
        <x:v>Count</x:v>
      </x:c>
      <x:c r="G14" s="45" t="str">
        <x:v>Department</x:v>
      </x:c>
      <x:c r="H14" s="45" t="str">
        <x:v>Assigned Assets</x:v>
      </x:c>
      <x:c r="J14" s="45" t="str">
        <x:v>Warranty</x:v>
      </x:c>
      <x:c r="K14" s="45" t="str">
        <x:v>Assets</x:v>
      </x:c>
    </x:row>
    <x:row r="15">
      <x:c r="A15" t="str">
        <x:v>Laptop</x:v>
      </x:c>
      <x:c r="B15" t="n">
        <x:f>COUNTIF('Asset Register'!C2:C16,A15)</x:f>
        <x:v>7</x:v>
      </x:c>
      <x:c r="D15" t="str">
        <x:v>Assigned</x:v>
      </x:c>
      <x:c r="E15" t="n">
        <x:f>COUNTIF('Asset Register'!L2:L16,D15)</x:f>
        <x:v>12</x:v>
      </x:c>
      <x:c r="G15" t="str">
        <x:v>IT</x:v>
      </x:c>
      <x:c r="H15" t="n">
        <x:f>COUNTIF('Asset Register'!H2:H16,G15)</x:f>
        <x:v>2</x:v>
      </x:c>
      <x:c r="J15" t="str">
        <x:v>Expired</x:v>
      </x:c>
      <x:c r="K15" t="n">
        <x:f>COUNTIF('Warranty Tracker'!E2:E16,"&lt;0")</x:f>
        <x:v>3</x:v>
      </x:c>
    </x:row>
    <x:row r="16">
      <x:c r="A16" t="str">
        <x:v>Desktop</x:v>
      </x:c>
      <x:c r="B16" t="n">
        <x:f>COUNTIF('Asset Register'!C2:C16,A16)</x:f>
        <x:v>2</x:v>
      </x:c>
      <x:c r="D16" t="str">
        <x:v>In Stock</x:v>
      </x:c>
      <x:c r="E16" t="n">
        <x:f>COUNTIF('Asset Register'!L2:L16,D16)</x:f>
        <x:v>1</x:v>
      </x:c>
      <x:c r="G16" t="str">
        <x:v>Finance</x:v>
      </x:c>
      <x:c r="H16" t="n">
        <x:f>COUNTIF('Asset Register'!H2:H16,G16)</x:f>
        <x:v>3</x:v>
      </x:c>
      <x:c r="J16" t="str">
        <x:v>0–90 Days</x:v>
      </x:c>
      <x:c r="K16" t="n">
        <x:f>COUNTIFS('Warranty Tracker'!E2:E16,"&gt;=0",'Warranty Tracker'!E2:E16,"&lt;=90")</x:f>
        <x:v>1</x:v>
      </x:c>
    </x:row>
    <x:row r="17">
      <x:c r="A17" t="str">
        <x:v>Monitor</x:v>
      </x:c>
      <x:c r="B17" t="n">
        <x:f>COUNTIF('Asset Register'!C2:C16,A17)</x:f>
        <x:v>2</x:v>
      </x:c>
      <x:c r="D17" t="str">
        <x:v>Repair</x:v>
      </x:c>
      <x:c r="E17" t="n">
        <x:f>COUNTIF('Asset Register'!L2:L16,D17)</x:f>
        <x:v>1</x:v>
      </x:c>
      <x:c r="G17" t="str">
        <x:v>Sales</x:v>
      </x:c>
      <x:c r="H17" t="n">
        <x:f>COUNTIF('Asset Register'!H2:H16,G17)</x:f>
        <x:v>2</x:v>
      </x:c>
      <x:c r="J17" t="str">
        <x:v>91–365 Days</x:v>
      </x:c>
      <x:c r="K17" t="n">
        <x:f>COUNTIFS('Warranty Tracker'!E2:E16,"&gt;90",'Warranty Tracker'!E2:E16,"&lt;=365")</x:f>
        <x:v>4</x:v>
      </x:c>
    </x:row>
    <x:row r="18">
      <x:c r="A18" t="str">
        <x:v>Mobile Phone</x:v>
      </x:c>
      <x:c r="B18" t="n">
        <x:f>COUNTIF('Asset Register'!C2:C16,A18)</x:f>
        <x:v>1</x:v>
      </x:c>
      <x:c r="D18" t="str">
        <x:v>Pending Disposal</x:v>
      </x:c>
      <x:c r="E18" t="n">
        <x:f>COUNTIF('Asset Register'!L2:L16,D18)</x:f>
        <x:v>1</x:v>
      </x:c>
      <x:c r="G18" t="str">
        <x:v>Operations</x:v>
      </x:c>
      <x:c r="H18" t="n">
        <x:f>COUNTIF('Asset Register'!H2:H16,G18)</x:f>
        <x:v>2</x:v>
      </x:c>
      <x:c r="J18" t="str">
        <x:v>&gt;365 Days</x:v>
      </x:c>
      <x:c r="K18" t="n">
        <x:f>COUNTIF('Warranty Tracker'!E2:E16,"&gt;365")</x:f>
        <x:v>7</x:v>
      </x:c>
    </x:row>
    <x:row r="19">
      <x:c r="A19" t="str">
        <x:v>Tablet</x:v>
      </x:c>
      <x:c r="B19" t="n">
        <x:f>COUNTIF('Asset Register'!C2:C16,A19)</x:f>
        <x:v>1</x:v>
      </x:c>
      <x:c r="D19" t="str">
        <x:v>Other</x:v>
      </x:c>
      <x:c r="E19" t="n">
        <x:f>COUNTA('Asset Register'!A2:A16)-SUM(E15:E18)</x:f>
        <x:v>0</x:v>
      </x:c>
    </x:row>
    <x:row r="20">
      <x:c r="A20" t="str">
        <x:v>Other</x:v>
      </x:c>
      <x:c r="B20" t="n">
        <x:f>COUNTA('Asset Register'!A2:A16)-SUM(B15:B19)</x:f>
        <x:v>2</x:v>
      </x:c>
    </x:row>
    <x:row r="58">
      <x:c r="A58" s="3" t="str">
        <x:v>Management Summary</x:v>
      </x:c>
      <x:c r="B58" s="3"/>
      <x:c r="C58" s="3"/>
      <x:c r="D58" s="3"/>
      <x:c r="E58" s="3"/>
      <x:c r="F58" s="3"/>
      <x:c r="G58" s="3"/>
      <x:c r="H58" s="3"/>
      <x:c r="I58" s="3"/>
      <x:c r="J58" s="3"/>
      <x:c r="K58" s="3"/>
      <x:c r="L58" s="3"/>
    </x:row>
    <x:row r="59">
      <x:c r="A59" s="49" t="str">
        <x:v>The inventory is fully reconciled with all July audit findings closed. One laptop is in repair, one asset completed secure disposal, and one assigned laptop has expired warranty coverage with documented risk acceptance. License availability remains sufficient, although Microsoft 365 and Adobe utilization should be reviewed before renewal to reclaim unused seats.</x:v>
      </x:c>
      <x:c r="B59" s="49"/>
      <x:c r="C59" s="49"/>
      <x:c r="D59" s="49"/>
      <x:c r="E59" s="49"/>
      <x:c r="F59" s="49"/>
      <x:c r="G59" s="49"/>
      <x:c r="H59" s="49"/>
      <x:c r="I59" s="49"/>
      <x:c r="J59" s="49"/>
      <x:c r="K59" s="49"/>
      <x:c r="L59" s="49"/>
    </x:row>
    <x:row r="60">
      <x:c r="A60" s="49"/>
      <x:c r="B60" s="49"/>
      <x:c r="C60" s="49"/>
      <x:c r="D60" s="49"/>
      <x:c r="E60" s="49"/>
      <x:c r="F60" s="49"/>
      <x:c r="G60" s="49"/>
      <x:c r="H60" s="49"/>
      <x:c r="I60" s="49"/>
      <x:c r="J60" s="49"/>
      <x:c r="K60" s="49"/>
      <x:c r="L60" s="49"/>
    </x:row>
    <x:row r="61">
      <x:c r="A61" s="49"/>
      <x:c r="B61" s="49"/>
      <x:c r="C61" s="49"/>
      <x:c r="D61" s="49"/>
      <x:c r="E61" s="49"/>
      <x:c r="F61" s="49"/>
      <x:c r="G61" s="49"/>
      <x:c r="H61" s="49"/>
      <x:c r="I61" s="49"/>
      <x:c r="J61" s="49"/>
      <x:c r="K61" s="49"/>
      <x:c r="L61" s="49"/>
    </x:row>
    <x:row r="62">
      <x:c r="A62" s="49"/>
      <x:c r="B62" s="49"/>
      <x:c r="C62" s="49"/>
      <x:c r="D62" s="49"/>
      <x:c r="E62" s="49"/>
      <x:c r="F62" s="49"/>
      <x:c r="G62" s="49"/>
      <x:c r="H62" s="49"/>
      <x:c r="I62" s="49"/>
      <x:c r="J62" s="49"/>
      <x:c r="K62" s="49"/>
      <x:c r="L62" s="49"/>
    </x:row>
    <x:row r="63">
      <x:c r="A63" s="49"/>
      <x:c r="B63" s="49"/>
      <x:c r="C63" s="49"/>
      <x:c r="D63" s="49"/>
      <x:c r="E63" s="49"/>
      <x:c r="F63" s="49"/>
      <x:c r="G63" s="49"/>
      <x:c r="H63" s="49"/>
      <x:c r="I63" s="49"/>
      <x:c r="J63" s="49"/>
      <x:c r="K63" s="49"/>
      <x:c r="L63" s="49"/>
    </x:row>
    <x:row r="64">
      <x:c r="A64" s="49"/>
      <x:c r="B64" s="49"/>
      <x:c r="C64" s="49"/>
      <x:c r="D64" s="49"/>
      <x:c r="E64" s="49"/>
      <x:c r="F64" s="49"/>
      <x:c r="G64" s="49"/>
      <x:c r="H64" s="49"/>
      <x:c r="I64" s="49"/>
      <x:c r="J64" s="49"/>
      <x:c r="K64" s="49"/>
      <x:c r="L64" s="49"/>
    </x:row>
  </x:sheetData>
  <x:mergeCells>
    <x:mergeCell ref="A1:L2"/>
    <x:mergeCell ref="A3:L3"/>
    <x:mergeCell ref="A5:C7"/>
    <x:mergeCell ref="D5:F7"/>
    <x:mergeCell ref="G5:I7"/>
    <x:mergeCell ref="J5:L7"/>
    <x:mergeCell ref="A9:C11"/>
    <x:mergeCell ref="D9:F11"/>
    <x:mergeCell ref="G9:I11"/>
    <x:mergeCell ref="J9:L11"/>
    <x:mergeCell ref="A58:L58"/>
    <x:mergeCell ref="A59:L64"/>
  </x:mergeCells>
  <x:pageMargins left="0.7" right="0.7" top="0.75" bottom="0.75" header="0.3" footer="0.3"/>
  <x:drawing xmlns:r="http://schemas.openxmlformats.org/officeDocument/2006/relationships" r:id="R86085e544ef342fb"/>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14" hidden="0" customWidth="1"/>
    <x:col min="5" max="5" width="22" hidden="0" customWidth="1"/>
    <x:col min="6" max="6" width="18" hidden="0" customWidth="1"/>
    <x:col min="7" max="7" width="20" hidden="0" customWidth="1"/>
    <x:col min="8" max="8" width="18" hidden="0" customWidth="1"/>
    <x:col min="9" max="9" width="18" hidden="0" customWidth="1"/>
    <x:col min="10" max="10" width="14" hidden="0" customWidth="1"/>
    <x:col min="11" max="11" width="16" hidden="0" customWidth="1"/>
    <x:col min="12" max="12" width="16" hidden="0" customWidth="1"/>
    <x:col min="13" max="13" width="22" hidden="0" customWidth="1"/>
    <x:col min="14" max="14" width="20" hidden="0" customWidth="1"/>
    <x:col min="15" max="15" width="14" hidden="0" customWidth="1"/>
    <x:col min="16" max="16" width="12" hidden="0" customWidth="1"/>
    <x:col min="17" max="17" width="18" hidden="0" customWidth="1"/>
  </x:cols>
  <x:sheetData>
    <x:row r="1">
      <x:c r="A1" s="6" t="str">
        <x:v>Asset ID</x:v>
      </x:c>
      <x:c r="B1" s="6" t="str">
        <x:v>Serial Number</x:v>
      </x:c>
      <x:c r="C1" s="6" t="str">
        <x:v>Asset Type</x:v>
      </x:c>
      <x:c r="D1" s="6" t="str">
        <x:v>Manufacturer</x:v>
      </x:c>
      <x:c r="E1" s="6" t="str">
        <x:v>Model</x:v>
      </x:c>
      <x:c r="F1" s="6" t="str">
        <x:v>Operating System</x:v>
      </x:c>
      <x:c r="G1" s="6" t="str">
        <x:v>Assigned User</x:v>
      </x:c>
      <x:c r="H1" s="6" t="str">
        <x:v>Department</x:v>
      </x:c>
      <x:c r="I1" s="6" t="str">
        <x:v>Location</x:v>
      </x:c>
      <x:c r="J1" s="6" t="str">
        <x:v>Purchase Date</x:v>
      </x:c>
      <x:c r="K1" s="6" t="str">
        <x:v>Warranty Expiration</x:v>
      </x:c>
      <x:c r="L1" s="6" t="str">
        <x:v>Status</x:v>
      </x:c>
      <x:c r="M1" s="6" t="str">
        <x:v>Encryption</x:v>
      </x:c>
      <x:c r="N1" s="6" t="str">
        <x:v>Security Status</x:v>
      </x:c>
      <x:c r="O1" s="6" t="str">
        <x:v>Last Audit Date</x:v>
      </x:c>
      <x:c r="P1" s="6" t="str">
        <x:v>Condition</x:v>
      </x:c>
      <x:c r="Q1" s="6" t="str">
        <x:v>Support Coverage</x:v>
      </x:c>
    </x:row>
    <x:row r="2">
      <x:c r="A2" s="14" t="str">
        <x:v>AST-0001</x:v>
      </x:c>
      <x:c r="B2" s="14" t="str">
        <x:v>LT-7H2K9Q</x:v>
      </x:c>
      <x:c r="C2" s="14" t="str">
        <x:v>Laptop</x:v>
      </x:c>
      <x:c r="D2" s="14" t="str">
        <x:v>Dell</x:v>
      </x:c>
      <x:c r="E2" s="14" t="str">
        <x:v>Latitude 5440</x:v>
      </x:c>
      <x:c r="F2" s="14" t="str">
        <x:v>Windows 11 Pro</x:v>
      </x:c>
      <x:c r="G2" s="14" t="str">
        <x:v>Jamie Christian II</x:v>
      </x:c>
      <x:c r="H2" s="14" t="str">
        <x:v>IT</x:v>
      </x:c>
      <x:c r="I2" s="14" t="str">
        <x:v>Remote</x:v>
      </x:c>
      <x:c r="J2" s="15" t="str">
        <x:v>2025-01-15</x:v>
      </x:c>
      <x:c r="K2" s="15" t="str">
        <x:v>2028-01-15</x:v>
      </x:c>
      <x:c r="L2" s="14" t="str">
        <x:v>Assigned</x:v>
      </x:c>
      <x:c r="M2" s="14" t="str">
        <x:v>BitLocker Enabled</x:v>
      </x:c>
      <x:c r="N2" s="14" t="str">
        <x:v>Defender Healthy</x:v>
      </x:c>
      <x:c r="O2" s="15" t="str">
        <x:v>2026-07-15</x:v>
      </x:c>
      <x:c r="P2" s="14" t="str">
        <x:v>Good</x:v>
      </x:c>
      <x:c r="Q2" s="14" t="str">
        <x:v>Dell ProSupport</x:v>
      </x:c>
    </x:row>
    <x:row r="3">
      <x:c r="A3" s="14" t="str">
        <x:v>AST-0002</x:v>
      </x:c>
      <x:c r="B3" s="14" t="str">
        <x:v>LT-8Q5M2P</x:v>
      </x:c>
      <x:c r="C3" s="14" t="str">
        <x:v>Laptop</x:v>
      </x:c>
      <x:c r="D3" s="14" t="str">
        <x:v>Lenovo</x:v>
      </x:c>
      <x:c r="E3" s="14" t="str">
        <x:v>ThinkPad T14 Gen 4</x:v>
      </x:c>
      <x:c r="F3" s="14" t="str">
        <x:v>Windows 11 Pro</x:v>
      </x:c>
      <x:c r="G3" s="14" t="str">
        <x:v>Maya Thompson</x:v>
      </x:c>
      <x:c r="H3" s="14" t="str">
        <x:v>Finance</x:v>
      </x:c>
      <x:c r="I3" s="14" t="str">
        <x:v>Charlotte HQ</x:v>
      </x:c>
      <x:c r="J3" s="15" t="str">
        <x:v>2025-02-10</x:v>
      </x:c>
      <x:c r="K3" s="15" t="str">
        <x:v>2028-02-10</x:v>
      </x:c>
      <x:c r="L3" s="14" t="str">
        <x:v>Assigned</x:v>
      </x:c>
      <x:c r="M3" s="14" t="str">
        <x:v>BitLocker Enabled</x:v>
      </x:c>
      <x:c r="N3" s="14" t="str">
        <x:v>Defender Healthy</x:v>
      </x:c>
      <x:c r="O3" s="15" t="str">
        <x:v>2026-07-18</x:v>
      </x:c>
      <x:c r="P3" s="14" t="str">
        <x:v>Good</x:v>
      </x:c>
      <x:c r="Q3" s="14" t="str">
        <x:v>Premier Support</x:v>
      </x:c>
    </x:row>
    <x:row r="4">
      <x:c r="A4" s="14" t="str">
        <x:v>AST-0003</x:v>
      </x:c>
      <x:c r="B4" s="14" t="str">
        <x:v>LT-1B7X4R</x:v>
      </x:c>
      <x:c r="C4" s="14" t="str">
        <x:v>Laptop</x:v>
      </x:c>
      <x:c r="D4" s="14" t="str">
        <x:v>HP</x:v>
      </x:c>
      <x:c r="E4" s="14" t="str">
        <x:v>EliteBook 840 G10</x:v>
      </x:c>
      <x:c r="F4" s="14" t="str">
        <x:v>Windows 11 Pro</x:v>
      </x:c>
      <x:c r="G4" s="14" t="str">
        <x:v>Noah Bennett</x:v>
      </x:c>
      <x:c r="H4" s="14" t="str">
        <x:v>Sales</x:v>
      </x:c>
      <x:c r="I4" s="14" t="str">
        <x:v>Remote</x:v>
      </x:c>
      <x:c r="J4" s="15" t="str">
        <x:v>2024-11-04</x:v>
      </x:c>
      <x:c r="K4" s="15" t="str">
        <x:v>2027-11-04</x:v>
      </x:c>
      <x:c r="L4" s="14" t="str">
        <x:v>Assigned</x:v>
      </x:c>
      <x:c r="M4" s="14" t="str">
        <x:v>BitLocker Enabled</x:v>
      </x:c>
      <x:c r="N4" s="14" t="str">
        <x:v>Defender Healthy</x:v>
      </x:c>
      <x:c r="O4" s="15" t="str">
        <x:v>2026-07-19</x:v>
      </x:c>
      <x:c r="P4" s="14" t="str">
        <x:v>Good</x:v>
      </x:c>
      <x:c r="Q4" s="14" t="str">
        <x:v>HP Care Pack</x:v>
      </x:c>
    </x:row>
    <x:row r="5">
      <x:c r="A5" s="14" t="str">
        <x:v>AST-0004</x:v>
      </x:c>
      <x:c r="B5" s="14" t="str">
        <x:v>DT-9K3N6S</x:v>
      </x:c>
      <x:c r="C5" s="14" t="str">
        <x:v>Desktop</x:v>
      </x:c>
      <x:c r="D5" s="14" t="str">
        <x:v>Dell</x:v>
      </x:c>
      <x:c r="E5" s="14" t="str">
        <x:v>OptiPlex 7010</x:v>
      </x:c>
      <x:c r="F5" s="14" t="str">
        <x:v>Windows 11 Pro</x:v>
      </x:c>
      <x:c r="G5" s="14" t="str">
        <x:v>Olivia Carter</x:v>
      </x:c>
      <x:c r="H5" s="14" t="str">
        <x:v>Operations</x:v>
      </x:c>
      <x:c r="I5" s="14" t="str">
        <x:v>Charlotte HQ</x:v>
      </x:c>
      <x:c r="J5" s="15" t="str">
        <x:v>2024-06-20</x:v>
      </x:c>
      <x:c r="K5" s="15" t="str">
        <x:v>2027-06-20</x:v>
      </x:c>
      <x:c r="L5" s="14" t="str">
        <x:v>Assigned</x:v>
      </x:c>
      <x:c r="M5" s="14" t="str">
        <x:v>BitLocker Enabled</x:v>
      </x:c>
      <x:c r="N5" s="14" t="str">
        <x:v>Defender Healthy</x:v>
      </x:c>
      <x:c r="O5" s="15" t="str">
        <x:v>2026-07-11</x:v>
      </x:c>
      <x:c r="P5" s="14" t="str">
        <x:v>Good</x:v>
      </x:c>
      <x:c r="Q5" s="14" t="str">
        <x:v>Dell Basic Support</x:v>
      </x:c>
    </x:row>
    <x:row r="6">
      <x:c r="A6" s="14" t="str">
        <x:v>AST-0005</x:v>
      </x:c>
      <x:c r="B6" s="14" t="str">
        <x:v>LT-3C8V5T</x:v>
      </x:c>
      <x:c r="C6" s="14" t="str">
        <x:v>Laptop</x:v>
      </x:c>
      <x:c r="D6" s="14" t="str">
        <x:v>Dell</x:v>
      </x:c>
      <x:c r="E6" s="14" t="str">
        <x:v>Latitude 5430</x:v>
      </x:c>
      <x:c r="F6" s="14" t="str">
        <x:v>Windows 11 Pro</x:v>
      </x:c>
      <x:c r="G6" s="14" t="str">
        <x:v>Unassigned</x:v>
      </x:c>
      <x:c r="H6" s="14" t="str">
        <x:v>Stockroom</x:v>
      </x:c>
      <x:c r="I6" s="14" t="str">
        <x:v>Charlotte HQ</x:v>
      </x:c>
      <x:c r="J6" s="15" t="str">
        <x:v>2023-09-12</x:v>
      </x:c>
      <x:c r="K6" s="15" t="str">
        <x:v>2026-09-12</x:v>
      </x:c>
      <x:c r="L6" s="14" t="str">
        <x:v>In Stock</x:v>
      </x:c>
      <x:c r="M6" s="14" t="str">
        <x:v>BitLocker Enabled</x:v>
      </x:c>
      <x:c r="N6" s="14" t="str">
        <x:v>Defender Healthy</x:v>
      </x:c>
      <x:c r="O6" s="15" t="str">
        <x:v>2026-07-22</x:v>
      </x:c>
      <x:c r="P6" s="14" t="str">
        <x:v>Good</x:v>
      </x:c>
      <x:c r="Q6" s="14" t="str">
        <x:v>Dell ProSupport</x:v>
      </x:c>
    </x:row>
    <x:row r="7">
      <x:c r="A7" s="14" t="str">
        <x:v>AST-0006</x:v>
      </x:c>
      <x:c r="B7" s="14" t="str">
        <x:v>LT-6D1F8Y</x:v>
      </x:c>
      <x:c r="C7" s="14" t="str">
        <x:v>Laptop</x:v>
      </x:c>
      <x:c r="D7" s="14" t="str">
        <x:v>Lenovo</x:v>
      </x:c>
      <x:c r="E7" s="14" t="str">
        <x:v>ThinkPad L14 Gen 3</x:v>
      </x:c>
      <x:c r="F7" s="14" t="str">
        <x:v>Windows 11 Pro</x:v>
      </x:c>
      <x:c r="G7" s="14" t="str">
        <x:v>Ethan Brooks</x:v>
      </x:c>
      <x:c r="H7" s="14" t="str">
        <x:v>Human Resources</x:v>
      </x:c>
      <x:c r="I7" s="14" t="str">
        <x:v>Charlotte HQ</x:v>
      </x:c>
      <x:c r="J7" s="15" t="str">
        <x:v>2023-07-06</x:v>
      </x:c>
      <x:c r="K7" s="15" t="str">
        <x:v>2026-07-06</x:v>
      </x:c>
      <x:c r="L7" s="14" t="str">
        <x:v>Assigned</x:v>
      </x:c>
      <x:c r="M7" s="14" t="str">
        <x:v>BitLocker Enabled</x:v>
      </x:c>
      <x:c r="N7" s="14" t="str">
        <x:v>Defender Healthy</x:v>
      </x:c>
      <x:c r="O7" s="15" t="str">
        <x:v>2026-07-13</x:v>
      </x:c>
      <x:c r="P7" s="14" t="str">
        <x:v>Fair</x:v>
      </x:c>
      <x:c r="Q7" s="14" t="str">
        <x:v>Warranty Expired</x:v>
      </x:c>
    </x:row>
    <x:row r="8">
      <x:c r="A8" s="14" t="str">
        <x:v>AST-0007</x:v>
      </x:c>
      <x:c r="B8" s="14" t="str">
        <x:v>MN-2T6J4A</x:v>
      </x:c>
      <x:c r="C8" s="14" t="str">
        <x:v>Monitor</x:v>
      </x:c>
      <x:c r="D8" s="14" t="str">
        <x:v>Dell</x:v>
      </x:c>
      <x:c r="E8" s="14" t="str">
        <x:v>P2422H</x:v>
      </x:c>
      <x:c r="F8" s="14" t="str">
        <x:v>N/A</x:v>
      </x:c>
      <x:c r="G8" s="14" t="str">
        <x:v>Maya Thompson</x:v>
      </x:c>
      <x:c r="H8" s="14" t="str">
        <x:v>Finance</x:v>
      </x:c>
      <x:c r="I8" s="14" t="str">
        <x:v>Charlotte HQ</x:v>
      </x:c>
      <x:c r="J8" s="15" t="str">
        <x:v>2025-02-10</x:v>
      </x:c>
      <x:c r="K8" s="15" t="str">
        <x:v>2028-02-10</x:v>
      </x:c>
      <x:c r="L8" s="14" t="str">
        <x:v>Assigned</x:v>
      </x:c>
      <x:c r="M8" s="14" t="str">
        <x:v>N/A</x:v>
      </x:c>
      <x:c r="N8" s="14" t="str">
        <x:v>N/A</x:v>
      </x:c>
      <x:c r="O8" s="15" t="str">
        <x:v>2026-07-18</x:v>
      </x:c>
      <x:c r="P8" s="14" t="str">
        <x:v>Good</x:v>
      </x:c>
      <x:c r="Q8" s="14" t="str">
        <x:v>Dell Basic Support</x:v>
      </x:c>
    </x:row>
    <x:row r="9">
      <x:c r="A9" s="14" t="str">
        <x:v>AST-0008</x:v>
      </x:c>
      <x:c r="B9" s="14" t="str">
        <x:v>MN-5P9L1C</x:v>
      </x:c>
      <x:c r="C9" s="14" t="str">
        <x:v>Monitor</x:v>
      </x:c>
      <x:c r="D9" s="14" t="str">
        <x:v>HP</x:v>
      </x:c>
      <x:c r="E9" s="14" t="str">
        <x:v>E24 G5</x:v>
      </x:c>
      <x:c r="F9" s="14" t="str">
        <x:v>N/A</x:v>
      </x:c>
      <x:c r="G9" s="14" t="str">
        <x:v>Noah Bennett</x:v>
      </x:c>
      <x:c r="H9" s="14" t="str">
        <x:v>Sales</x:v>
      </x:c>
      <x:c r="I9" s="14" t="str">
        <x:v>Remote</x:v>
      </x:c>
      <x:c r="J9" s="15" t="str">
        <x:v>2024-11-04</x:v>
      </x:c>
      <x:c r="K9" s="15" t="str">
        <x:v>2027-11-04</x:v>
      </x:c>
      <x:c r="L9" s="14" t="str">
        <x:v>Assigned</x:v>
      </x:c>
      <x:c r="M9" s="14" t="str">
        <x:v>N/A</x:v>
      </x:c>
      <x:c r="N9" s="14" t="str">
        <x:v>N/A</x:v>
      </x:c>
      <x:c r="O9" s="15" t="str">
        <x:v>2026-07-19</x:v>
      </x:c>
      <x:c r="P9" s="14" t="str">
        <x:v>Good</x:v>
      </x:c>
      <x:c r="Q9" s="14" t="str">
        <x:v>HP Care Pack</x:v>
      </x:c>
    </x:row>
    <x:row r="10">
      <x:c r="A10" s="14" t="str">
        <x:v>AST-0009</x:v>
      </x:c>
      <x:c r="B10" s="14" t="str">
        <x:v>PH-4R8W2B</x:v>
      </x:c>
      <x:c r="C10" s="14" t="str">
        <x:v>Mobile Phone</x:v>
      </x:c>
      <x:c r="D10" s="14" t="str">
        <x:v>Apple</x:v>
      </x:c>
      <x:c r="E10" s="14" t="str">
        <x:v>iPhone 15</x:v>
      </x:c>
      <x:c r="F10" s="14" t="str">
        <x:v>iOS 19</x:v>
      </x:c>
      <x:c r="G10" s="14" t="str">
        <x:v>Olivia Carter</x:v>
      </x:c>
      <x:c r="H10" s="14" t="str">
        <x:v>Operations</x:v>
      </x:c>
      <x:c r="I10" s="14" t="str">
        <x:v>Charlotte HQ</x:v>
      </x:c>
      <x:c r="J10" s="15" t="str">
        <x:v>2025-03-14</x:v>
      </x:c>
      <x:c r="K10" s="15" t="str">
        <x:v>2027-03-14</x:v>
      </x:c>
      <x:c r="L10" s="14" t="str">
        <x:v>Assigned</x:v>
      </x:c>
      <x:c r="M10" s="14" t="str">
        <x:v>Device Encryption Enabled</x:v>
      </x:c>
      <x:c r="N10" s="14" t="str">
        <x:v>MDM Compliant</x:v>
      </x:c>
      <x:c r="O10" s="15" t="str">
        <x:v>2026-07-11</x:v>
      </x:c>
      <x:c r="P10" s="14" t="str">
        <x:v>Good</x:v>
      </x:c>
      <x:c r="Q10" s="14" t="str">
        <x:v>AppleCare+</x:v>
      </x:c>
    </x:row>
    <x:row r="11">
      <x:c r="A11" s="14" t="str">
        <x:v>AST-0010</x:v>
      </x:c>
      <x:c r="B11" s="14" t="str">
        <x:v>TB-7N3Q6D</x:v>
      </x:c>
      <x:c r="C11" s="14" t="str">
        <x:v>Tablet</x:v>
      </x:c>
      <x:c r="D11" s="14" t="str">
        <x:v>Microsoft</x:v>
      </x:c>
      <x:c r="E11" s="14" t="str">
        <x:v>Surface Pro 10</x:v>
      </x:c>
      <x:c r="F11" s="14" t="str">
        <x:v>Windows 11 Pro</x:v>
      </x:c>
      <x:c r="G11" s="14" t="str">
        <x:v>Liam Foster</x:v>
      </x:c>
      <x:c r="H11" s="14" t="str">
        <x:v>Executive</x:v>
      </x:c>
      <x:c r="I11" s="14" t="str">
        <x:v>Charlotte HQ</x:v>
      </x:c>
      <x:c r="J11" s="15" t="str">
        <x:v>2025-04-01</x:v>
      </x:c>
      <x:c r="K11" s="15" t="str">
        <x:v>2028-04-01</x:v>
      </x:c>
      <x:c r="L11" s="14" t="str">
        <x:v>Assigned</x:v>
      </x:c>
      <x:c r="M11" s="14" t="str">
        <x:v>BitLocker Enabled</x:v>
      </x:c>
      <x:c r="N11" s="14" t="str">
        <x:v>Defender Healthy</x:v>
      </x:c>
      <x:c r="O11" s="15" t="str">
        <x:v>2026-07-17</x:v>
      </x:c>
      <x:c r="P11" s="14" t="str">
        <x:v>Good</x:v>
      </x:c>
      <x:c r="Q11" s="14" t="str">
        <x:v>Microsoft Complete</x:v>
      </x:c>
    </x:row>
    <x:row r="12">
      <x:c r="A12" s="14" t="str">
        <x:v>AST-0011</x:v>
      </x:c>
      <x:c r="B12" s="14" t="str">
        <x:v>LT-0M2A7E</x:v>
      </x:c>
      <x:c r="C12" s="14" t="str">
        <x:v>Laptop</x:v>
      </x:c>
      <x:c r="D12" s="14" t="str">
        <x:v>Dell</x:v>
      </x:c>
      <x:c r="E12" s="14" t="str">
        <x:v>Latitude 5420</x:v>
      </x:c>
      <x:c r="F12" s="14" t="str">
        <x:v>Windows 11 Pro</x:v>
      </x:c>
      <x:c r="G12" s="14" t="str">
        <x:v>Unassigned</x:v>
      </x:c>
      <x:c r="H12" s="14" t="str">
        <x:v>Repair</x:v>
      </x:c>
      <x:c r="I12" s="14" t="str">
        <x:v>Vendor Depot</x:v>
      </x:c>
      <x:c r="J12" s="15" t="str">
        <x:v>2022-08-19</x:v>
      </x:c>
      <x:c r="K12" s="15" t="str">
        <x:v>2025-08-19</x:v>
      </x:c>
      <x:c r="L12" s="14" t="str">
        <x:v>Repair</x:v>
      </x:c>
      <x:c r="M12" s="14" t="str">
        <x:v>BitLocker Enabled</x:v>
      </x:c>
      <x:c r="N12" s="14" t="str">
        <x:v>Defender Healthy</x:v>
      </x:c>
      <x:c r="O12" s="15" t="str">
        <x:v>2026-07-09</x:v>
      </x:c>
      <x:c r="P12" s="14" t="str">
        <x:v>Poor</x:v>
      </x:c>
      <x:c r="Q12" s="14" t="str">
        <x:v>Out of Warranty</x:v>
      </x:c>
    </x:row>
    <x:row r="13">
      <x:c r="A13" s="14" t="str">
        <x:v>AST-0012</x:v>
      </x:c>
      <x:c r="B13" s="14" t="str">
        <x:v>PR-6V4C8F</x:v>
      </x:c>
      <x:c r="C13" s="14" t="str">
        <x:v>Printer</x:v>
      </x:c>
      <x:c r="D13" s="14" t="str">
        <x:v>HP</x:v>
      </x:c>
      <x:c r="E13" s="14" t="str">
        <x:v>LaserJet Pro 4001dn</x:v>
      </x:c>
      <x:c r="F13" s="14" t="str">
        <x:v>Embedded</x:v>
      </x:c>
      <x:c r="G13" s="14" t="str">
        <x:v>Shared - Finance</x:v>
      </x:c>
      <x:c r="H13" s="14" t="str">
        <x:v>Finance</x:v>
      </x:c>
      <x:c r="I13" s="14" t="str">
        <x:v>Charlotte HQ</x:v>
      </x:c>
      <x:c r="J13" s="15" t="str">
        <x:v>2024-01-22</x:v>
      </x:c>
      <x:c r="K13" s="15" t="str">
        <x:v>2027-01-22</x:v>
      </x:c>
      <x:c r="L13" s="14" t="str">
        <x:v>Assigned</x:v>
      </x:c>
      <x:c r="M13" s="14" t="str">
        <x:v>N/A</x:v>
      </x:c>
      <x:c r="N13" s="14" t="str">
        <x:v>Firmware Current</x:v>
      </x:c>
      <x:c r="O13" s="15" t="str">
        <x:v>2026-07-18</x:v>
      </x:c>
      <x:c r="P13" s="14" t="str">
        <x:v>Good</x:v>
      </x:c>
      <x:c r="Q13" s="14" t="str">
        <x:v>HP Care Pack</x:v>
      </x:c>
    </x:row>
    <x:row r="14">
      <x:c r="A14" s="14" t="str">
        <x:v>AST-0013</x:v>
      </x:c>
      <x:c r="B14" s="14" t="str">
        <x:v>AP-9S5D1G</x:v>
      </x:c>
      <x:c r="C14" s="14" t="str">
        <x:v>Wireless AP</x:v>
      </x:c>
      <x:c r="D14" s="14" t="str">
        <x:v>Cisco</x:v>
      </x:c>
      <x:c r="E14" s="14" t="str">
        <x:v>Catalyst 9164</x:v>
      </x:c>
      <x:c r="F14" s="14" t="str">
        <x:v>IOS XE</x:v>
      </x:c>
      <x:c r="G14" s="14" t="str">
        <x:v>Infrastructure Team</x:v>
      </x:c>
      <x:c r="H14" s="14" t="str">
        <x:v>IT</x:v>
      </x:c>
      <x:c r="I14" s="14" t="str">
        <x:v>Charlotte HQ</x:v>
      </x:c>
      <x:c r="J14" s="15" t="str">
        <x:v>2024-05-17</x:v>
      </x:c>
      <x:c r="K14" s="15" t="str">
        <x:v>2027-05-17</x:v>
      </x:c>
      <x:c r="L14" s="14" t="str">
        <x:v>Assigned</x:v>
      </x:c>
      <x:c r="M14" s="14" t="str">
        <x:v>Encrypted Config</x:v>
      </x:c>
      <x:c r="N14" s="14" t="str">
        <x:v>Firmware Current</x:v>
      </x:c>
      <x:c r="O14" s="15" t="str">
        <x:v>2026-07-20</x:v>
      </x:c>
      <x:c r="P14" s="14" t="str">
        <x:v>Good</x:v>
      </x:c>
      <x:c r="Q14" s="14" t="str">
        <x:v>Cisco Smart Net</x:v>
      </x:c>
    </x:row>
    <x:row r="15">
      <x:c r="A15" s="14" t="str">
        <x:v>AST-0014</x:v>
      </x:c>
      <x:c r="B15" s="14" t="str">
        <x:v>LT-4H6K3J</x:v>
      </x:c>
      <x:c r="C15" s="14" t="str">
        <x:v>Laptop</x:v>
      </x:c>
      <x:c r="D15" s="14" t="str">
        <x:v>HP</x:v>
      </x:c>
      <x:c r="E15" s="14" t="str">
        <x:v>EliteBook 845 G9</x:v>
      </x:c>
      <x:c r="F15" s="14" t="str">
        <x:v>Windows 11 Pro</x:v>
      </x:c>
      <x:c r="G15" s="14" t="str">
        <x:v>Unassigned</x:v>
      </x:c>
      <x:c r="H15" s="14" t="str">
        <x:v>Disposal</x:v>
      </x:c>
      <x:c r="I15" s="14" t="str">
        <x:v>Secure Storage</x:v>
      </x:c>
      <x:c r="J15" s="15" t="str">
        <x:v>2022-02-03</x:v>
      </x:c>
      <x:c r="K15" s="15" t="str">
        <x:v>2025-02-03</x:v>
      </x:c>
      <x:c r="L15" s="14" t="str">
        <x:v>Pending Disposal</x:v>
      </x:c>
      <x:c r="M15" s="14" t="str">
        <x:v>BitLocker Enabled</x:v>
      </x:c>
      <x:c r="N15" s="14" t="str">
        <x:v>Defender Healthy</x:v>
      </x:c>
      <x:c r="O15" s="15" t="str">
        <x:v>2026-07-08</x:v>
      </x:c>
      <x:c r="P15" s="14" t="str">
        <x:v>Poor</x:v>
      </x:c>
      <x:c r="Q15" s="14" t="str">
        <x:v>Expired</x:v>
      </x:c>
    </x:row>
    <x:row r="16">
      <x:c r="A16" s="14" t="str">
        <x:v>AST-0015</x:v>
      </x:c>
      <x:c r="B16" s="14" t="str">
        <x:v>DT-2F7P9L</x:v>
      </x:c>
      <x:c r="C16" s="14" t="str">
        <x:v>Desktop</x:v>
      </x:c>
      <x:c r="D16" s="14" t="str">
        <x:v>Lenovo</x:v>
      </x:c>
      <x:c r="E16" s="14" t="str">
        <x:v>ThinkCentre M90q</x:v>
      </x:c>
      <x:c r="F16" s="14" t="str">
        <x:v>Windows 11 Pro</x:v>
      </x:c>
      <x:c r="G16" s="14" t="str">
        <x:v>Sophia Mitchell</x:v>
      </x:c>
      <x:c r="H16" s="14" t="str">
        <x:v>Customer Service</x:v>
      </x:c>
      <x:c r="I16" s="14" t="str">
        <x:v>Charlotte HQ</x:v>
      </x:c>
      <x:c r="J16" s="15" t="str">
        <x:v>2024-10-10</x:v>
      </x:c>
      <x:c r="K16" s="15" t="str">
        <x:v>2027-10-10</x:v>
      </x:c>
      <x:c r="L16" s="14" t="str">
        <x:v>Assigned</x:v>
      </x:c>
      <x:c r="M16" s="14" t="str">
        <x:v>BitLocker Enabled</x:v>
      </x:c>
      <x:c r="N16" s="14" t="str">
        <x:v>Defender Healthy</x:v>
      </x:c>
      <x:c r="O16" s="15" t="str">
        <x:v>2026-07-16</x:v>
      </x:c>
      <x:c r="P16" s="14" t="str">
        <x:v>Good</x:v>
      </x:c>
      <x:c r="Q16" s="14" t="str">
        <x:v>Premier Support</x:v>
      </x:c>
    </x:row>
  </x:sheetData>
  <x:dataValidations count="2">
    <x:dataValidation type="list" sqref="L2:L16">
      <x:formula1>"Assigned,In Stock,Repair,Pending Disposal,Disposed,Lost,Retired"</x:formula1>
    </x:dataValidation>
    <x:dataValidation type="list" sqref="P2:P16">
      <x:formula1>"New,Good,Fair,Poor"</x:formula1>
    </x:dataValidation>
  </x:dataValidations>
  <x:pageMargins left="0.7" right="0.7" top="0.75" bottom="0.75" header="0.3" footer="0.3"/>
  <x:tableParts count="1">
    <x:tablePart xmlns:r="http://schemas.openxmlformats.org/officeDocument/2006/relationships" r:id="R5094508ffa104314"/>
  </x:tableParts>
</x:worksheet>
</file>

<file path=xl/worksheets/sheet3.xml><?xml version="1.0" encoding="utf-8"?>
<x:worksheet xmlns:x="http://schemas.openxmlformats.org/spreadsheetml/2006/main">
  <x:sheetFormatPr defaultRowHeight="15"/>
  <x:cols>
    <x:col min="1" max="1" width="16" hidden="0" customWidth="1"/>
    <x:col min="2" max="2" width="12" hidden="0" customWidth="1"/>
    <x:col min="3" max="3" width="20" hidden="0" customWidth="1"/>
    <x:col min="4" max="4" width="18" hidden="0" customWidth="1"/>
    <x:col min="5" max="5" width="14" hidden="0" customWidth="1"/>
    <x:col min="6" max="6" width="14" hidden="0" customWidth="1"/>
    <x:col min="7" max="7" width="14" hidden="0" customWidth="1"/>
    <x:col min="8" max="8" width="20" hidden="0" customWidth="1"/>
    <x:col min="9" max="9" width="14" hidden="0" customWidth="1"/>
    <x:col min="10" max="10" width="14" hidden="0" customWidth="1"/>
    <x:col min="11" max="11" width="12" hidden="0" customWidth="1"/>
  </x:cols>
  <x:sheetData>
    <x:row r="1">
      <x:c r="A1" s="3" t="str">
        <x:v>Assignment ID</x:v>
      </x:c>
      <x:c r="B1" s="3" t="str">
        <x:v>Asset ID</x:v>
      </x:c>
      <x:c r="C1" s="3" t="str">
        <x:v>User</x:v>
      </x:c>
      <x:c r="D1" s="3" t="str">
        <x:v>Department</x:v>
      </x:c>
      <x:c r="E1" s="3" t="str">
        <x:v>Assigned Date</x:v>
      </x:c>
      <x:c r="F1" s="3" t="str">
        <x:v>Expected Return</x:v>
      </x:c>
      <x:c r="G1" s="3" t="str">
        <x:v>Actual Return</x:v>
      </x:c>
      <x:c r="H1" s="3" t="str">
        <x:v>Issued By</x:v>
      </x:c>
      <x:c r="I1" s="3" t="str">
        <x:v>Condition Out</x:v>
      </x:c>
      <x:c r="J1" s="3" t="str">
        <x:v>Condition In</x:v>
      </x:c>
      <x:c r="K1" s="3" t="str">
        <x:v>Status</x:v>
      </x:c>
    </x:row>
    <x:row r="2">
      <x:c r="A2" t="str">
        <x:v>ASG-2026-001</x:v>
      </x:c>
      <x:c r="B2" t="str">
        <x:v>AST-0001</x:v>
      </x:c>
      <x:c r="C2" t="str">
        <x:v>Jamie Christian II</x:v>
      </x:c>
      <x:c r="D2" t="str">
        <x:v>IT</x:v>
      </x:c>
      <x:c r="E2" s="12" t="str">
        <x:v>2026-01-06</x:v>
      </x:c>
      <x:c r="F2" s="12" t="str"/>
      <x:c r="G2" s="12" t="str"/>
      <x:c r="H2" t="str">
        <x:v>Morgan Reed</x:v>
      </x:c>
      <x:c r="I2" t="str">
        <x:v>Good</x:v>
      </x:c>
      <x:c r="J2" t="str"/>
      <x:c r="K2" t="str">
        <x:v>Active</x:v>
      </x:c>
    </x:row>
    <x:row r="3">
      <x:c r="A3" t="str">
        <x:v>ASG-2026-002</x:v>
      </x:c>
      <x:c r="B3" t="str">
        <x:v>AST-0002</x:v>
      </x:c>
      <x:c r="C3" t="str">
        <x:v>Maya Thompson</x:v>
      </x:c>
      <x:c r="D3" t="str">
        <x:v>Finance</x:v>
      </x:c>
      <x:c r="E3" s="12" t="str">
        <x:v>2025-02-12</x:v>
      </x:c>
      <x:c r="F3" s="12" t="str"/>
      <x:c r="G3" s="12" t="str"/>
      <x:c r="H3" t="str">
        <x:v>Jamie Christian II</x:v>
      </x:c>
      <x:c r="I3" t="str">
        <x:v>New</x:v>
      </x:c>
      <x:c r="J3" t="str"/>
      <x:c r="K3" t="str">
        <x:v>Active</x:v>
      </x:c>
    </x:row>
    <x:row r="4">
      <x:c r="A4" t="str">
        <x:v>ASG-2026-003</x:v>
      </x:c>
      <x:c r="B4" t="str">
        <x:v>AST-0003</x:v>
      </x:c>
      <x:c r="C4" t="str">
        <x:v>Noah Bennett</x:v>
      </x:c>
      <x:c r="D4" t="str">
        <x:v>Sales</x:v>
      </x:c>
      <x:c r="E4" s="12" t="str">
        <x:v>2024-11-06</x:v>
      </x:c>
      <x:c r="F4" s="12" t="str"/>
      <x:c r="G4" s="12" t="str"/>
      <x:c r="H4" t="str">
        <x:v>Jamie Christian II</x:v>
      </x:c>
      <x:c r="I4" t="str">
        <x:v>New</x:v>
      </x:c>
      <x:c r="J4" t="str"/>
      <x:c r="K4" t="str">
        <x:v>Active</x:v>
      </x:c>
    </x:row>
    <x:row r="5">
      <x:c r="A5" t="str">
        <x:v>ASG-2026-004</x:v>
      </x:c>
      <x:c r="B5" t="str">
        <x:v>AST-0004</x:v>
      </x:c>
      <x:c r="C5" t="str">
        <x:v>Olivia Carter</x:v>
      </x:c>
      <x:c r="D5" t="str">
        <x:v>Operations</x:v>
      </x:c>
      <x:c r="E5" s="12" t="str">
        <x:v>2024-06-21</x:v>
      </x:c>
      <x:c r="F5" s="12" t="str"/>
      <x:c r="G5" s="12" t="str"/>
      <x:c r="H5" t="str">
        <x:v>Alex Morgan</x:v>
      </x:c>
      <x:c r="I5" t="str">
        <x:v>New</x:v>
      </x:c>
      <x:c r="J5" t="str"/>
      <x:c r="K5" t="str">
        <x:v>Active</x:v>
      </x:c>
    </x:row>
    <x:row r="6">
      <x:c r="A6" t="str">
        <x:v>ASG-2026-005</x:v>
      </x:c>
      <x:c r="B6" t="str">
        <x:v>AST-0006</x:v>
      </x:c>
      <x:c r="C6" t="str">
        <x:v>Ethan Brooks</x:v>
      </x:c>
      <x:c r="D6" t="str">
        <x:v>Human Resources</x:v>
      </x:c>
      <x:c r="E6" s="12" t="str">
        <x:v>2023-07-07</x:v>
      </x:c>
      <x:c r="F6" s="12" t="str"/>
      <x:c r="G6" s="12" t="str"/>
      <x:c r="H6" t="str">
        <x:v>Taylor Reed</x:v>
      </x:c>
      <x:c r="I6" t="str">
        <x:v>New</x:v>
      </x:c>
      <x:c r="J6" t="str"/>
      <x:c r="K6" t="str">
        <x:v>Active</x:v>
      </x:c>
    </x:row>
    <x:row r="7">
      <x:c r="A7" t="str">
        <x:v>ASG-2026-006</x:v>
      </x:c>
      <x:c r="B7" t="str">
        <x:v>AST-0010</x:v>
      </x:c>
      <x:c r="C7" t="str">
        <x:v>Liam Foster</x:v>
      </x:c>
      <x:c r="D7" t="str">
        <x:v>Executive</x:v>
      </x:c>
      <x:c r="E7" s="12" t="str">
        <x:v>2025-04-02</x:v>
      </x:c>
      <x:c r="F7" s="12" t="str"/>
      <x:c r="G7" s="12" t="str"/>
      <x:c r="H7" t="str">
        <x:v>Jamie Christian II</x:v>
      </x:c>
      <x:c r="I7" t="str">
        <x:v>New</x:v>
      </x:c>
      <x:c r="J7" t="str"/>
      <x:c r="K7" t="str">
        <x:v>Active</x:v>
      </x:c>
    </x:row>
    <x:row r="8">
      <x:c r="A8" t="str">
        <x:v>ASG-2026-007</x:v>
      </x:c>
      <x:c r="B8" t="str">
        <x:v>AST-0015</x:v>
      </x:c>
      <x:c r="C8" t="str">
        <x:v>Sophia Mitchell</x:v>
      </x:c>
      <x:c r="D8" t="str">
        <x:v>Customer Service</x:v>
      </x:c>
      <x:c r="E8" s="12" t="str">
        <x:v>2024-10-11</x:v>
      </x:c>
      <x:c r="F8" s="12" t="str"/>
      <x:c r="G8" s="12" t="str"/>
      <x:c r="H8" t="str">
        <x:v>Jordan Lee</x:v>
      </x:c>
      <x:c r="I8" t="str">
        <x:v>New</x:v>
      </x:c>
      <x:c r="J8" t="str"/>
      <x:c r="K8" t="str">
        <x:v>Active</x:v>
      </x:c>
    </x:row>
    <x:row r="9">
      <x:c r="A9" t="str">
        <x:v>ASG-2026-008</x:v>
      </x:c>
      <x:c r="B9" t="str">
        <x:v>AST-0014</x:v>
      </x:c>
      <x:c r="C9" t="str">
        <x:v>Ava Parker</x:v>
      </x:c>
      <x:c r="D9" t="str">
        <x:v>Finance</x:v>
      </x:c>
      <x:c r="E9" s="12" t="str">
        <x:v>2022-02-04</x:v>
      </x:c>
      <x:c r="F9" s="12" t="str">
        <x:v>2026-06-30</x:v>
      </x:c>
      <x:c r="G9" s="12" t="str">
        <x:v>2026-06-28</x:v>
      </x:c>
      <x:c r="H9" t="str">
        <x:v>Jamie Christian II</x:v>
      </x:c>
      <x:c r="I9" t="str">
        <x:v>New</x:v>
      </x:c>
      <x:c r="J9" t="str">
        <x:v>Poor</x:v>
      </x:c>
      <x:c r="K9" t="str">
        <x:v>Returned</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12" hidden="0" customWidth="1"/>
    <x:col min="3" max="3" width="14" hidden="0" customWidth="1"/>
    <x:col min="4" max="4" width="38" hidden="0" customWidth="1"/>
    <x:col min="5" max="5" width="22" hidden="0" customWidth="1"/>
    <x:col min="6" max="6" width="15" hidden="0" customWidth="1"/>
    <x:col min="7" max="7" width="15" hidden="0" customWidth="1"/>
    <x:col min="8" max="8" width="16" hidden="0" customWidth="1"/>
    <x:col min="9" max="9" width="12" hidden="0" customWidth="1"/>
    <x:col min="10" max="10" width="14" hidden="0" customWidth="1"/>
    <x:col min="11" max="11" width="42" hidden="0" customWidth="1"/>
  </x:cols>
  <x:sheetData>
    <x:row r="1">
      <x:c r="A1" s="4" t="str">
        <x:v>Repair ID</x:v>
      </x:c>
      <x:c r="B1" s="4" t="str">
        <x:v>Asset ID</x:v>
      </x:c>
      <x:c r="C1" s="4" t="str">
        <x:v>Reported Date</x:v>
      </x:c>
      <x:c r="D1" s="4" t="str">
        <x:v>Issue</x:v>
      </x:c>
      <x:c r="E1" s="4" t="str">
        <x:v>Vendor</x:v>
      </x:c>
      <x:c r="F1" s="4" t="str">
        <x:v>Estimated Cost</x:v>
      </x:c>
      <x:c r="G1" s="4" t="str">
        <x:v>Actual Cost</x:v>
      </x:c>
      <x:c r="H1" s="4" t="str">
        <x:v>Warranty Covered</x:v>
      </x:c>
      <x:c r="I1" s="4" t="str">
        <x:v>Status</x:v>
      </x:c>
      <x:c r="J1" s="4" t="str">
        <x:v>Returned Date</x:v>
      </x:c>
      <x:c r="K1" s="4" t="str">
        <x:v>Resolution</x:v>
      </x:c>
    </x:row>
    <x:row r="2">
      <x:c r="A2" s="14" t="str">
        <x:v>RPR-2026-001</x:v>
      </x:c>
      <x:c r="B2" s="14" t="str">
        <x:v>AST-0011</x:v>
      </x:c>
      <x:c r="C2" s="15" t="str">
        <x:v>2026-07-07</x:v>
      </x:c>
      <x:c r="D2" s="14" t="str">
        <x:v>Intermittent power failure and battery not charging</x:v>
      </x:c>
      <x:c r="E2" s="14" t="str">
        <x:v>Dell Depot</x:v>
      </x:c>
      <x:c r="F2" s="20" t="str">
        <x:v>385.00</x:v>
      </x:c>
      <x:c r="G2" s="20" t="str">
        <x:v>385.00</x:v>
      </x:c>
      <x:c r="H2" s="14" t="str">
        <x:v>No</x:v>
      </x:c>
      <x:c r="I2" s="14" t="str">
        <x:v>Completed</x:v>
      </x:c>
      <x:c r="J2" s="15" t="str">
        <x:v>2026-07-25</x:v>
      </x:c>
      <x:c r="K2" s="14" t="str">
        <x:v>System board and battery replaced; device passed diagnostics</x:v>
      </x:c>
    </x:row>
    <x:row r="3">
      <x:c r="A3" s="14" t="str">
        <x:v>RPR-2026-002</x:v>
      </x:c>
      <x:c r="B3" s="14" t="str">
        <x:v>AST-0006</x:v>
      </x:c>
      <x:c r="C3" s="15" t="str">
        <x:v>2026-06-19</x:v>
      </x:c>
      <x:c r="D3" s="14" t="str">
        <x:v>Keyboard keys sticking</x:v>
      </x:c>
      <x:c r="E3" s="14" t="str">
        <x:v>Local Authorized Service</x:v>
      </x:c>
      <x:c r="F3" s="20" t="str">
        <x:v>145.00</x:v>
      </x:c>
      <x:c r="G3" s="20" t="str">
        <x:v>0.00</x:v>
      </x:c>
      <x:c r="H3" s="14" t="str">
        <x:v>Yes</x:v>
      </x:c>
      <x:c r="I3" s="14" t="str">
        <x:v>Completed</x:v>
      </x:c>
      <x:c r="J3" s="15" t="str">
        <x:v>2026-06-25</x:v>
      </x:c>
      <x:c r="K3" s="14" t="str">
        <x:v>Keyboard replaced under extended support exception</x:v>
      </x:c>
    </x:row>
    <x:row r="4">
      <x:c r="A4" s="14" t="str">
        <x:v>RPR-2026-003</x:v>
      </x:c>
      <x:c r="B4" s="14" t="str">
        <x:v>AST-0012</x:v>
      </x:c>
      <x:c r="C4" s="15" t="str">
        <x:v>2026-07-16</x:v>
      </x:c>
      <x:c r="D4" s="14" t="str">
        <x:v>Paper-feed rollers slipping</x:v>
      </x:c>
      <x:c r="E4" s="14" t="str">
        <x:v>HP Support</x:v>
      </x:c>
      <x:c r="F4" s="20" t="str">
        <x:v>210.00</x:v>
      </x:c>
      <x:c r="G4" s="20" t="str">
        <x:v>0.00</x:v>
      </x:c>
      <x:c r="H4" s="14" t="str">
        <x:v>Yes</x:v>
      </x:c>
      <x:c r="I4" s="14" t="str">
        <x:v>Completed</x:v>
      </x:c>
      <x:c r="J4" s="15" t="str">
        <x:v>2026-07-20</x:v>
      </x:c>
      <x:c r="K4" s="14" t="str">
        <x:v>Roller kit replaced and printer tested with 100-page job</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28" hidden="0" customWidth="1"/>
    <x:col min="3" max="3" width="18" hidden="0" customWidth="1"/>
    <x:col min="4" max="4" width="16" hidden="0" customWidth="1"/>
    <x:col min="5" max="5" width="16" hidden="0" customWidth="1"/>
    <x:col min="6" max="6" width="16" hidden="0" customWidth="1"/>
    <x:col min="7" max="7" width="16" hidden="0" customWidth="1"/>
    <x:col min="8" max="8" width="14" hidden="0" customWidth="1"/>
    <x:col min="9" max="9" width="14" hidden="0" customWidth="1"/>
    <x:col min="10" max="10" width="26" hidden="0" customWidth="1"/>
    <x:col min="11" max="11" width="12" hidden="0" customWidth="1"/>
  </x:cols>
  <x:sheetData>
    <x:row r="1">
      <x:c r="A1" s="3" t="str">
        <x:v>License ID</x:v>
      </x:c>
      <x:c r="B1" s="3" t="str">
        <x:v>Product</x:v>
      </x:c>
      <x:c r="C1" s="3" t="str">
        <x:v>Vendor</x:v>
      </x:c>
      <x:c r="D1" s="3" t="str">
        <x:v>License Type</x:v>
      </x:c>
      <x:c r="E1" s="3" t="str">
        <x:v>Seats Purchased</x:v>
      </x:c>
      <x:c r="F1" s="3" t="str">
        <x:v>Seats Assigned</x:v>
      </x:c>
      <x:c r="G1" s="3" t="str">
        <x:v>Seats Available</x:v>
      </x:c>
      <x:c r="H1" s="3" t="str">
        <x:v>Renewal Date</x:v>
      </x:c>
      <x:c r="I1" s="3" t="str">
        <x:v>Annual Cost</x:v>
      </x:c>
      <x:c r="J1" s="3" t="str">
        <x:v>Owner</x:v>
      </x:c>
      <x:c r="K1" s="3" t="str">
        <x:v>Status</x:v>
      </x:c>
    </x:row>
    <x:row r="2">
      <x:c r="A2" t="str">
        <x:v>LIC-2026-001</x:v>
      </x:c>
      <x:c r="B2" t="str">
        <x:v>Microsoft 365 Business Premium</x:v>
      </x:c>
      <x:c r="C2" t="str">
        <x:v>Microsoft</x:v>
      </x:c>
      <x:c r="D2" t="str">
        <x:v>Subscription</x:v>
      </x:c>
      <x:c r="E2" t="str">
        <x:v>75</x:v>
      </x:c>
      <x:c r="F2" t="str">
        <x:v>68</x:v>
      </x:c>
      <x:c r="G2" t="str">
        <x:v>7</x:v>
      </x:c>
      <x:c r="H2" s="12" t="str">
        <x:v>2027-01-31</x:v>
      </x:c>
      <x:c r="I2" s="18" t="n">
        <x:v>16500</x:v>
      </x:c>
      <x:c r="J2" t="str">
        <x:v>Microsoft 365 Administrator</x:v>
      </x:c>
      <x:c r="K2" t="str">
        <x:v>Active</x:v>
      </x:c>
    </x:row>
    <x:row r="3">
      <x:c r="A3" t="str">
        <x:v>LIC-2026-002</x:v>
      </x:c>
      <x:c r="B3" t="str">
        <x:v>Adobe Acrobat Pro</x:v>
      </x:c>
      <x:c r="C3" t="str">
        <x:v>Adobe</x:v>
      </x:c>
      <x:c r="D3" t="str">
        <x:v>Subscription</x:v>
      </x:c>
      <x:c r="E3" t="str">
        <x:v>20</x:v>
      </x:c>
      <x:c r="F3" t="str">
        <x:v>18</x:v>
      </x:c>
      <x:c r="G3" t="str">
        <x:v>2</x:v>
      </x:c>
      <x:c r="H3" s="12" t="str">
        <x:v>2026-11-30</x:v>
      </x:c>
      <x:c r="I3" s="18" t="n">
        <x:v>4800</x:v>
      </x:c>
      <x:c r="J3" t="str">
        <x:v>Service Desk Lead</x:v>
      </x:c>
      <x:c r="K3" t="str">
        <x:v>Active</x:v>
      </x:c>
    </x:row>
    <x:row r="4">
      <x:c r="A4" t="str">
        <x:v>LIC-2026-003</x:v>
      </x:c>
      <x:c r="B4" t="str">
        <x:v>TeamViewer Tensor</x:v>
      </x:c>
      <x:c r="C4" t="str">
        <x:v>TeamViewer</x:v>
      </x:c>
      <x:c r="D4" t="str">
        <x:v>Subscription</x:v>
      </x:c>
      <x:c r="E4" t="str">
        <x:v>10</x:v>
      </x:c>
      <x:c r="F4" t="str">
        <x:v>8</x:v>
      </x:c>
      <x:c r="G4" t="str">
        <x:v>2</x:v>
      </x:c>
      <x:c r="H4" s="12" t="str">
        <x:v>2026-10-15</x:v>
      </x:c>
      <x:c r="I4" s="18" t="n">
        <x:v>3600</x:v>
      </x:c>
      <x:c r="J4" t="str">
        <x:v>Infrastructure Manager</x:v>
      </x:c>
      <x:c r="K4" t="str">
        <x:v>Active</x:v>
      </x:c>
    </x:row>
    <x:row r="5">
      <x:c r="A5" t="str">
        <x:v>LIC-2026-004</x:v>
      </x:c>
      <x:c r="B5" t="str">
        <x:v>CrowdStrike Falcon</x:v>
      </x:c>
      <x:c r="C5" t="str">
        <x:v>CrowdStrike</x:v>
      </x:c>
      <x:c r="D5" t="str">
        <x:v>Subscription</x:v>
      </x:c>
      <x:c r="E5" t="str">
        <x:v>100</x:v>
      </x:c>
      <x:c r="F5" t="str">
        <x:v>92</x:v>
      </x:c>
      <x:c r="G5" t="str">
        <x:v>8</x:v>
      </x:c>
      <x:c r="H5" s="12" t="str">
        <x:v>2027-03-01</x:v>
      </x:c>
      <x:c r="I5" s="18" t="n">
        <x:v>9200</x:v>
      </x:c>
      <x:c r="J5" t="str">
        <x:v>Security Operations</x:v>
      </x:c>
      <x:c r="K5" t="str">
        <x:v>Active</x:v>
      </x:c>
    </x:row>
    <x:row r="6">
      <x:c r="A6" t="str">
        <x:v>LIC-2026-005</x:v>
      </x:c>
      <x:c r="B6" t="str">
        <x:v>Visio Plan 2</x:v>
      </x:c>
      <x:c r="C6" t="str">
        <x:v>Microsoft</x:v>
      </x:c>
      <x:c r="D6" t="str">
        <x:v>Subscription</x:v>
      </x:c>
      <x:c r="E6" t="str">
        <x:v>12</x:v>
      </x:c>
      <x:c r="F6" t="str">
        <x:v>10</x:v>
      </x:c>
      <x:c r="G6" t="str">
        <x:v>2</x:v>
      </x:c>
      <x:c r="H6" s="12" t="str">
        <x:v>2026-12-31</x:v>
      </x:c>
      <x:c r="I6" s="18" t="n">
        <x:v>2160</x:v>
      </x:c>
      <x:c r="J6" t="str">
        <x:v>Project Management Office</x:v>
      </x:c>
      <x:c r="K6" t="str">
        <x:v>Active</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14" hidden="0" customWidth="1"/>
    <x:col min="3" max="3" width="24" hidden="0" customWidth="1"/>
    <x:col min="4" max="4" width="16" hidden="0" customWidth="1"/>
    <x:col min="5" max="5" width="14" hidden="0" customWidth="1"/>
    <x:col min="6" max="6" width="22" hidden="0" customWidth="1"/>
    <x:col min="7" max="7" width="20" hidden="0" customWidth="1"/>
    <x:col min="8" max="8" width="20" hidden="0" customWidth="1"/>
    <x:col min="9" max="9" width="16" hidden="0" customWidth="1"/>
  </x:cols>
  <x:sheetData>
    <x:row r="1">
      <x:c r="A1" s="4" t="str">
        <x:v>Asset ID</x:v>
      </x:c>
      <x:c r="B1" s="4" t="str">
        <x:v>Manufacturer</x:v>
      </x:c>
      <x:c r="C1" s="4" t="str">
        <x:v>Model</x:v>
      </x:c>
      <x:c r="D1" s="4" t="str">
        <x:v>Warranty Expiration</x:v>
      </x:c>
      <x:c r="E1" s="4" t="str">
        <x:v>Days Remaining</x:v>
      </x:c>
      <x:c r="F1" s="4" t="str">
        <x:v>Renewal Recommendation</x:v>
      </x:c>
      <x:c r="G1" s="4" t="str">
        <x:v>Estimated Renewal Cost</x:v>
      </x:c>
      <x:c r="H1" s="4" t="str">
        <x:v>Action Owner</x:v>
      </x:c>
      <x:c r="I1" s="4" t="str">
        <x:v>Status</x:v>
      </x:c>
    </x:row>
    <x:row r="2">
      <x:c r="A2" s="14" t="str">
        <x:v>AST-0001</x:v>
      </x:c>
      <x:c r="B2" s="14" t="str">
        <x:v>Dell</x:v>
      </x:c>
      <x:c r="C2" s="14" t="str">
        <x:v>Latitude 5440</x:v>
      </x:c>
      <x:c r="D2" s="15" t="str">
        <x:v>2028-01-15</x:v>
      </x:c>
      <x:c r="E2" s="14" t="n">
        <x:f>DATEVALUE(D2)-DATE(2026,8,5)</x:f>
        <x:v>528</x:v>
      </x:c>
      <x:c r="F2" s="14" t="str">
        <x:f>IF(E2&lt;0,"Expired",IF(E2&lt;=90,"Renew or Replace","Monitor"))</x:f>
        <x:v>Monitor</x:v>
      </x:c>
      <x:c r="G2" s="20" t="n">
        <x:f>IF(F2="Renew or Replace",450,IF(F2="Expired",0,0))</x:f>
        <x:v>0</x:v>
      </x:c>
      <x:c r="H2" s="14" t="str">
        <x:v>Jamie Christian II</x:v>
      </x:c>
      <x:c r="I2" s="14" t="str">
        <x:f>IF(F2="Monitor","Open",IF(F2="Renew or Replace","Action Required","Review"))</x:f>
        <x:v>Open</x:v>
      </x:c>
    </x:row>
    <x:row r="3">
      <x:c r="A3" s="14" t="str">
        <x:v>AST-0002</x:v>
      </x:c>
      <x:c r="B3" s="14" t="str">
        <x:v>Lenovo</x:v>
      </x:c>
      <x:c r="C3" s="14" t="str">
        <x:v>ThinkPad T14 Gen 4</x:v>
      </x:c>
      <x:c r="D3" s="15" t="str">
        <x:v>2028-02-10</x:v>
      </x:c>
      <x:c r="E3" s="14" t="n">
        <x:f>DATEVALUE(D3)-DATE(2026,8,5)</x:f>
        <x:v>554</x:v>
      </x:c>
      <x:c r="F3" s="14" t="str">
        <x:f>IF(E3&lt;0,"Expired",IF(E3&lt;=90,"Renew or Replace","Monitor"))</x:f>
        <x:v>Monitor</x:v>
      </x:c>
      <x:c r="G3" s="20" t="n">
        <x:f>IF(F3="Renew or Replace",450,IF(F3="Expired",0,0))</x:f>
        <x:v>0</x:v>
      </x:c>
      <x:c r="H3" s="14" t="str">
        <x:v>Jamie Christian II</x:v>
      </x:c>
      <x:c r="I3" s="14" t="str">
        <x:f>IF(F3="Monitor","Open",IF(F3="Renew or Replace","Action Required","Review"))</x:f>
        <x:v>Open</x:v>
      </x:c>
    </x:row>
    <x:row r="4">
      <x:c r="A4" s="14" t="str">
        <x:v>AST-0003</x:v>
      </x:c>
      <x:c r="B4" s="14" t="str">
        <x:v>HP</x:v>
      </x:c>
      <x:c r="C4" s="14" t="str">
        <x:v>EliteBook 840 G10</x:v>
      </x:c>
      <x:c r="D4" s="15" t="str">
        <x:v>2027-11-04</x:v>
      </x:c>
      <x:c r="E4" s="14" t="n">
        <x:f>DATEVALUE(D4)-DATE(2026,8,5)</x:f>
        <x:v>456</x:v>
      </x:c>
      <x:c r="F4" s="14" t="str">
        <x:f>IF(E4&lt;0,"Expired",IF(E4&lt;=90,"Renew or Replace","Monitor"))</x:f>
        <x:v>Monitor</x:v>
      </x:c>
      <x:c r="G4" s="20" t="n">
        <x:f>IF(F4="Renew or Replace",450,IF(F4="Expired",0,0))</x:f>
        <x:v>0</x:v>
      </x:c>
      <x:c r="H4" s="14" t="str">
        <x:v>Jamie Christian II</x:v>
      </x:c>
      <x:c r="I4" s="14" t="str">
        <x:f>IF(F4="Monitor","Open",IF(F4="Renew or Replace","Action Required","Review"))</x:f>
        <x:v>Open</x:v>
      </x:c>
    </x:row>
    <x:row r="5">
      <x:c r="A5" s="14" t="str">
        <x:v>AST-0004</x:v>
      </x:c>
      <x:c r="B5" s="14" t="str">
        <x:v>Dell</x:v>
      </x:c>
      <x:c r="C5" s="14" t="str">
        <x:v>OptiPlex 7010</x:v>
      </x:c>
      <x:c r="D5" s="15" t="str">
        <x:v>2027-06-20</x:v>
      </x:c>
      <x:c r="E5" s="14" t="n">
        <x:f>DATEVALUE(D5)-DATE(2026,8,5)</x:f>
        <x:v>319</x:v>
      </x:c>
      <x:c r="F5" s="14" t="str">
        <x:f>IF(E5&lt;0,"Expired",IF(E5&lt;=90,"Renew or Replace","Monitor"))</x:f>
        <x:v>Monitor</x:v>
      </x:c>
      <x:c r="G5" s="20" t="n">
        <x:f>IF(F5="Renew or Replace",450,IF(F5="Expired",0,0))</x:f>
        <x:v>0</x:v>
      </x:c>
      <x:c r="H5" s="14" t="str">
        <x:v>Jamie Christian II</x:v>
      </x:c>
      <x:c r="I5" s="14" t="str">
        <x:f>IF(F5="Monitor","Open",IF(F5="Renew or Replace","Action Required","Review"))</x:f>
        <x:v>Open</x:v>
      </x:c>
    </x:row>
    <x:row r="6">
      <x:c r="A6" s="14" t="str">
        <x:v>AST-0005</x:v>
      </x:c>
      <x:c r="B6" s="14" t="str">
        <x:v>Dell</x:v>
      </x:c>
      <x:c r="C6" s="14" t="str">
        <x:v>Latitude 5430</x:v>
      </x:c>
      <x:c r="D6" s="15" t="str">
        <x:v>2026-09-12</x:v>
      </x:c>
      <x:c r="E6" s="14" t="n">
        <x:f>DATEVALUE(D6)-DATE(2026,8,5)</x:f>
        <x:v>38</x:v>
      </x:c>
      <x:c r="F6" s="14" t="str">
        <x:f>IF(E6&lt;0,"Expired",IF(E6&lt;=90,"Renew or Replace","Monitor"))</x:f>
        <x:v>Renew or Replace</x:v>
      </x:c>
      <x:c r="G6" s="20" t="n">
        <x:f>IF(F6="Renew or Replace",450,IF(F6="Expired",0,0))</x:f>
        <x:v>450</x:v>
      </x:c>
      <x:c r="H6" s="14" t="str">
        <x:v>Jamie Christian II</x:v>
      </x:c>
      <x:c r="I6" s="14" t="str">
        <x:f>IF(F6="Monitor","Open",IF(F6="Renew or Replace","Action Required","Review"))</x:f>
        <x:v>Action Required</x:v>
      </x:c>
    </x:row>
    <x:row r="7">
      <x:c r="A7" s="14" t="str">
        <x:v>AST-0006</x:v>
      </x:c>
      <x:c r="B7" s="14" t="str">
        <x:v>Lenovo</x:v>
      </x:c>
      <x:c r="C7" s="14" t="str">
        <x:v>ThinkPad L14 Gen 3</x:v>
      </x:c>
      <x:c r="D7" s="15" t="str">
        <x:v>2026-07-06</x:v>
      </x:c>
      <x:c r="E7" s="14" t="n">
        <x:f>DATEVALUE(D7)-DATE(2026,8,5)</x:f>
        <x:v>-30</x:v>
      </x:c>
      <x:c r="F7" s="14" t="str">
        <x:f>IF(E7&lt;0,"Expired",IF(E7&lt;=90,"Renew or Replace","Monitor"))</x:f>
        <x:v>Expired</x:v>
      </x:c>
      <x:c r="G7" s="20" t="n">
        <x:f>IF(F7="Renew or Replace",450,IF(F7="Expired",0,0))</x:f>
        <x:v>0</x:v>
      </x:c>
      <x:c r="H7" s="14" t="str">
        <x:v>Jamie Christian II</x:v>
      </x:c>
      <x:c r="I7" s="14" t="str">
        <x:f>IF(F7="Monitor","Open",IF(F7="Renew or Replace","Action Required","Review"))</x:f>
        <x:v>Review</x:v>
      </x:c>
    </x:row>
    <x:row r="8">
      <x:c r="A8" s="14" t="str">
        <x:v>AST-0007</x:v>
      </x:c>
      <x:c r="B8" s="14" t="str">
        <x:v>Dell</x:v>
      </x:c>
      <x:c r="C8" s="14" t="str">
        <x:v>P2422H</x:v>
      </x:c>
      <x:c r="D8" s="15" t="str">
        <x:v>2028-02-10</x:v>
      </x:c>
      <x:c r="E8" s="14" t="n">
        <x:f>DATEVALUE(D8)-DATE(2026,8,5)</x:f>
        <x:v>554</x:v>
      </x:c>
      <x:c r="F8" s="14" t="str">
        <x:f>IF(E8&lt;0,"Expired",IF(E8&lt;=90,"Renew or Replace","Monitor"))</x:f>
        <x:v>Monitor</x:v>
      </x:c>
      <x:c r="G8" s="20" t="n">
        <x:f>IF(F8="Renew or Replace",450,IF(F8="Expired",0,0))</x:f>
        <x:v>0</x:v>
      </x:c>
      <x:c r="H8" s="14" t="str">
        <x:v>Jamie Christian II</x:v>
      </x:c>
      <x:c r="I8" s="14" t="str">
        <x:f>IF(F8="Monitor","Open",IF(F8="Renew or Replace","Action Required","Review"))</x:f>
        <x:v>Open</x:v>
      </x:c>
    </x:row>
    <x:row r="9">
      <x:c r="A9" s="14" t="str">
        <x:v>AST-0008</x:v>
      </x:c>
      <x:c r="B9" s="14" t="str">
        <x:v>HP</x:v>
      </x:c>
      <x:c r="C9" s="14" t="str">
        <x:v>E24 G5</x:v>
      </x:c>
      <x:c r="D9" s="15" t="str">
        <x:v>2027-11-04</x:v>
      </x:c>
      <x:c r="E9" s="14" t="n">
        <x:f>DATEVALUE(D9)-DATE(2026,8,5)</x:f>
        <x:v>456</x:v>
      </x:c>
      <x:c r="F9" s="14" t="str">
        <x:f>IF(E9&lt;0,"Expired",IF(E9&lt;=90,"Renew or Replace","Monitor"))</x:f>
        <x:v>Monitor</x:v>
      </x:c>
      <x:c r="G9" s="20" t="n">
        <x:f>IF(F9="Renew or Replace",450,IF(F9="Expired",0,0))</x:f>
        <x:v>0</x:v>
      </x:c>
      <x:c r="H9" s="14" t="str">
        <x:v>Jamie Christian II</x:v>
      </x:c>
      <x:c r="I9" s="14" t="str">
        <x:f>IF(F9="Monitor","Open",IF(F9="Renew or Replace","Action Required","Review"))</x:f>
        <x:v>Open</x:v>
      </x:c>
    </x:row>
    <x:row r="10">
      <x:c r="A10" s="14" t="str">
        <x:v>AST-0009</x:v>
      </x:c>
      <x:c r="B10" s="14" t="str">
        <x:v>Apple</x:v>
      </x:c>
      <x:c r="C10" s="14" t="str">
        <x:v>iPhone 15</x:v>
      </x:c>
      <x:c r="D10" s="15" t="str">
        <x:v>2027-03-14</x:v>
      </x:c>
      <x:c r="E10" s="14" t="n">
        <x:f>DATEVALUE(D10)-DATE(2026,8,5)</x:f>
        <x:v>221</x:v>
      </x:c>
      <x:c r="F10" s="14" t="str">
        <x:f>IF(E10&lt;0,"Expired",IF(E10&lt;=90,"Renew or Replace","Monitor"))</x:f>
        <x:v>Monitor</x:v>
      </x:c>
      <x:c r="G10" s="20" t="n">
        <x:f>IF(F10="Renew or Replace",450,IF(F10="Expired",0,0))</x:f>
        <x:v>0</x:v>
      </x:c>
      <x:c r="H10" s="14" t="str">
        <x:v>Jamie Christian II</x:v>
      </x:c>
      <x:c r="I10" s="14" t="str">
        <x:f>IF(F10="Monitor","Open",IF(F10="Renew or Replace","Action Required","Review"))</x:f>
        <x:v>Open</x:v>
      </x:c>
    </x:row>
    <x:row r="11">
      <x:c r="A11" s="14" t="str">
        <x:v>AST-0010</x:v>
      </x:c>
      <x:c r="B11" s="14" t="str">
        <x:v>Microsoft</x:v>
      </x:c>
      <x:c r="C11" s="14" t="str">
        <x:v>Surface Pro 10</x:v>
      </x:c>
      <x:c r="D11" s="15" t="str">
        <x:v>2028-04-01</x:v>
      </x:c>
      <x:c r="E11" s="14" t="n">
        <x:f>DATEVALUE(D11)-DATE(2026,8,5)</x:f>
        <x:v>605</x:v>
      </x:c>
      <x:c r="F11" s="14" t="str">
        <x:f>IF(E11&lt;0,"Expired",IF(E11&lt;=90,"Renew or Replace","Monitor"))</x:f>
        <x:v>Monitor</x:v>
      </x:c>
      <x:c r="G11" s="20" t="n">
        <x:f>IF(F11="Renew or Replace",450,IF(F11="Expired",0,0))</x:f>
        <x:v>0</x:v>
      </x:c>
      <x:c r="H11" s="14" t="str">
        <x:v>Jamie Christian II</x:v>
      </x:c>
      <x:c r="I11" s="14" t="str">
        <x:f>IF(F11="Monitor","Open",IF(F11="Renew or Replace","Action Required","Review"))</x:f>
        <x:v>Open</x:v>
      </x:c>
    </x:row>
    <x:row r="12">
      <x:c r="A12" s="14" t="str">
        <x:v>AST-0011</x:v>
      </x:c>
      <x:c r="B12" s="14" t="str">
        <x:v>Dell</x:v>
      </x:c>
      <x:c r="C12" s="14" t="str">
        <x:v>Latitude 5420</x:v>
      </x:c>
      <x:c r="D12" s="15" t="str">
        <x:v>2025-08-19</x:v>
      </x:c>
      <x:c r="E12" s="14" t="n">
        <x:f>DATEVALUE(D12)-DATE(2026,8,5)</x:f>
        <x:v>-351</x:v>
      </x:c>
      <x:c r="F12" s="14" t="str">
        <x:f>IF(E12&lt;0,"Expired",IF(E12&lt;=90,"Renew or Replace","Monitor"))</x:f>
        <x:v>Expired</x:v>
      </x:c>
      <x:c r="G12" s="20" t="n">
        <x:f>IF(F12="Renew or Replace",450,IF(F12="Expired",0,0))</x:f>
        <x:v>0</x:v>
      </x:c>
      <x:c r="H12" s="14" t="str">
        <x:v>Jamie Christian II</x:v>
      </x:c>
      <x:c r="I12" s="14" t="str">
        <x:f>IF(F12="Monitor","Open",IF(F12="Renew or Replace","Action Required","Review"))</x:f>
        <x:v>Review</x:v>
      </x:c>
    </x:row>
    <x:row r="13">
      <x:c r="A13" s="14" t="str">
        <x:v>AST-0012</x:v>
      </x:c>
      <x:c r="B13" s="14" t="str">
        <x:v>HP</x:v>
      </x:c>
      <x:c r="C13" s="14" t="str">
        <x:v>LaserJet Pro 4001dn</x:v>
      </x:c>
      <x:c r="D13" s="15" t="str">
        <x:v>2027-01-22</x:v>
      </x:c>
      <x:c r="E13" s="14" t="n">
        <x:f>DATEVALUE(D13)-DATE(2026,8,5)</x:f>
        <x:v>170</x:v>
      </x:c>
      <x:c r="F13" s="14" t="str">
        <x:f>IF(E13&lt;0,"Expired",IF(E13&lt;=90,"Renew or Replace","Monitor"))</x:f>
        <x:v>Monitor</x:v>
      </x:c>
      <x:c r="G13" s="20" t="n">
        <x:f>IF(F13="Renew or Replace",450,IF(F13="Expired",0,0))</x:f>
        <x:v>0</x:v>
      </x:c>
      <x:c r="H13" s="14" t="str">
        <x:v>Jamie Christian II</x:v>
      </x:c>
      <x:c r="I13" s="14" t="str">
        <x:f>IF(F13="Monitor","Open",IF(F13="Renew or Replace","Action Required","Review"))</x:f>
        <x:v>Open</x:v>
      </x:c>
    </x:row>
    <x:row r="14">
      <x:c r="A14" s="14" t="str">
        <x:v>AST-0013</x:v>
      </x:c>
      <x:c r="B14" s="14" t="str">
        <x:v>Cisco</x:v>
      </x:c>
      <x:c r="C14" s="14" t="str">
        <x:v>Catalyst 9164</x:v>
      </x:c>
      <x:c r="D14" s="15" t="str">
        <x:v>2027-05-17</x:v>
      </x:c>
      <x:c r="E14" s="14" t="n">
        <x:f>DATEVALUE(D14)-DATE(2026,8,5)</x:f>
        <x:v>285</x:v>
      </x:c>
      <x:c r="F14" s="14" t="str">
        <x:f>IF(E14&lt;0,"Expired",IF(E14&lt;=90,"Renew or Replace","Monitor"))</x:f>
        <x:v>Monitor</x:v>
      </x:c>
      <x:c r="G14" s="20" t="n">
        <x:f>IF(F14="Renew or Replace",450,IF(F14="Expired",0,0))</x:f>
        <x:v>0</x:v>
      </x:c>
      <x:c r="H14" s="14" t="str">
        <x:v>Jamie Christian II</x:v>
      </x:c>
      <x:c r="I14" s="14" t="str">
        <x:f>IF(F14="Monitor","Open",IF(F14="Renew or Replace","Action Required","Review"))</x:f>
        <x:v>Open</x:v>
      </x:c>
    </x:row>
    <x:row r="15">
      <x:c r="A15" s="14" t="str">
        <x:v>AST-0014</x:v>
      </x:c>
      <x:c r="B15" s="14" t="str">
        <x:v>HP</x:v>
      </x:c>
      <x:c r="C15" s="14" t="str">
        <x:v>EliteBook 845 G9</x:v>
      </x:c>
      <x:c r="D15" s="15" t="str">
        <x:v>2025-02-03</x:v>
      </x:c>
      <x:c r="E15" s="14" t="n">
        <x:f>DATEVALUE(D15)-DATE(2026,8,5)</x:f>
        <x:v>-548</x:v>
      </x:c>
      <x:c r="F15" s="14" t="str">
        <x:f>IF(E15&lt;0,"Expired",IF(E15&lt;=90,"Renew or Replace","Monitor"))</x:f>
        <x:v>Expired</x:v>
      </x:c>
      <x:c r="G15" s="20" t="n">
        <x:f>IF(F15="Renew or Replace",450,IF(F15="Expired",0,0))</x:f>
        <x:v>0</x:v>
      </x:c>
      <x:c r="H15" s="14" t="str">
        <x:v>Jamie Christian II</x:v>
      </x:c>
      <x:c r="I15" s="14" t="str">
        <x:f>IF(F15="Monitor","Open",IF(F15="Renew or Replace","Action Required","Review"))</x:f>
        <x:v>Review</x:v>
      </x:c>
    </x:row>
    <x:row r="16">
      <x:c r="A16" s="14" t="str">
        <x:v>AST-0015</x:v>
      </x:c>
      <x:c r="B16" s="14" t="str">
        <x:v>Lenovo</x:v>
      </x:c>
      <x:c r="C16" s="14" t="str">
        <x:v>ThinkCentre M90q</x:v>
      </x:c>
      <x:c r="D16" s="15" t="str">
        <x:v>2027-10-10</x:v>
      </x:c>
      <x:c r="E16" s="14" t="n">
        <x:f>DATEVALUE(D16)-DATE(2026,8,5)</x:f>
        <x:v>431</x:v>
      </x:c>
      <x:c r="F16" s="14" t="str">
        <x:f>IF(E16&lt;0,"Expired",IF(E16&lt;=90,"Renew or Replace","Monitor"))</x:f>
        <x:v>Monitor</x:v>
      </x:c>
      <x:c r="G16" s="20" t="n">
        <x:f>IF(F16="Renew or Replace",450,IF(F16="Expired",0,0))</x:f>
        <x:v>0</x:v>
      </x:c>
      <x:c r="H16" s="14" t="str">
        <x:v>Jamie Christian II</x:v>
      </x:c>
      <x:c r="I16" s="14" t="str">
        <x:f>IF(F16="Monitor","Open",IF(F16="Renew or Replace","Action Required","Review"))</x:f>
        <x:v>Open</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6" hidden="0" customWidth="1"/>
    <x:col min="2" max="2" width="12" hidden="0" customWidth="1"/>
    <x:col min="3" max="3" width="14" hidden="0" customWidth="1"/>
    <x:col min="4" max="4" width="14" hidden="0" customWidth="1"/>
    <x:col min="5" max="5" width="42" hidden="0" customWidth="1"/>
    <x:col min="6" max="6" width="24" hidden="0" customWidth="1"/>
    <x:col min="7" max="7" width="30" hidden="0" customWidth="1"/>
    <x:col min="8" max="8" width="26" hidden="0" customWidth="1"/>
    <x:col min="9" max="9" width="18" hidden="0" customWidth="1"/>
    <x:col min="10" max="10" width="14" hidden="0" customWidth="1"/>
    <x:col min="11" max="11" width="12" hidden="0" customWidth="1"/>
  </x:cols>
  <x:sheetData>
    <x:row r="1">
      <x:c r="A1" s="4" t="str">
        <x:v>Disposal ID</x:v>
      </x:c>
      <x:c r="B1" s="4" t="str">
        <x:v>Asset ID</x:v>
      </x:c>
      <x:c r="C1" s="4" t="str">
        <x:v>Asset Type</x:v>
      </x:c>
      <x:c r="D1" s="4" t="str">
        <x:v>Approval Date</x:v>
      </x:c>
      <x:c r="E1" s="4" t="str">
        <x:v>Data Wipe Method</x:v>
      </x:c>
      <x:c r="F1" s="4" t="str">
        <x:v>Wipe Verification</x:v>
      </x:c>
      <x:c r="G1" s="4" t="str">
        <x:v>Disposition</x:v>
      </x:c>
      <x:c r="H1" s="4" t="str">
        <x:v>Vendor</x:v>
      </x:c>
      <x:c r="I1" s="4" t="str">
        <x:v>Certificate ID</x:v>
      </x:c>
      <x:c r="J1" s="4" t="str">
        <x:v>Disposal Date</x:v>
      </x:c>
      <x:c r="K1" s="4" t="str">
        <x:v>Status</x:v>
      </x:c>
    </x:row>
    <x:row r="2">
      <x:c r="A2" s="14" t="str">
        <x:v>DSP-2026-001</x:v>
      </x:c>
      <x:c r="B2" s="14" t="str">
        <x:v>AST-0014</x:v>
      </x:c>
      <x:c r="C2" s="14" t="str">
        <x:v>Laptop</x:v>
      </x:c>
      <x:c r="D2" s="15" t="str">
        <x:v>2026-07-10</x:v>
      </x:c>
      <x:c r="E2" s="14" t="str">
        <x:v>NIST 800-88 Clear using approved secure erase</x:v>
      </x:c>
      <x:c r="F2" s="14" t="str">
        <x:v>Passed - wipe log reviewed</x:v>
      </x:c>
      <x:c r="G2" s="14" t="str">
        <x:v>Certified electronics recycling</x:v>
      </x:c>
      <x:c r="H2" s="14" t="str">
        <x:v>Carolina Secure Recycling</x:v>
      </x:c>
      <x:c r="I2" s="14" t="str">
        <x:v>CSR-2026-0714</x:v>
      </x:c>
      <x:c r="J2" s="15" t="str">
        <x:v>2026-07-24</x:v>
      </x:c>
      <x:c r="K2" s="14" t="str">
        <x:v>Completed</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6" hidden="0" customWidth="1"/>
    <x:col min="2" max="2" width="14" hidden="0" customWidth="1"/>
    <x:col min="3" max="3" width="12" hidden="0" customWidth="1"/>
    <x:col min="4" max="4" width="38" hidden="0" customWidth="1"/>
    <x:col min="5" max="5" width="12" hidden="0" customWidth="1"/>
    <x:col min="6" max="6" width="44" hidden="0" customWidth="1"/>
    <x:col min="7" max="7" width="22" hidden="0" customWidth="1"/>
    <x:col min="8" max="8" width="14" hidden="0" customWidth="1"/>
    <x:col min="9" max="9" width="12" hidden="0" customWidth="1"/>
    <x:col min="10" max="10" width="14" hidden="0" customWidth="1"/>
  </x:cols>
  <x:sheetData>
    <x:row r="1">
      <x:c r="A1" s="4" t="str">
        <x:v>Finding ID</x:v>
      </x:c>
      <x:c r="B1" s="4" t="str">
        <x:v>Audit Date</x:v>
      </x:c>
      <x:c r="C1" s="4" t="str">
        <x:v>Asset ID</x:v>
      </x:c>
      <x:c r="D1" s="4" t="str">
        <x:v>Finding</x:v>
      </x:c>
      <x:c r="E1" s="4" t="str">
        <x:v>Risk</x:v>
      </x:c>
      <x:c r="F1" s="4" t="str">
        <x:v>Corrective Action</x:v>
      </x:c>
      <x:c r="G1" s="4" t="str">
        <x:v>Owner</x:v>
      </x:c>
      <x:c r="H1" s="4" t="str">
        <x:v>Due Date</x:v>
      </x:c>
      <x:c r="I1" s="4" t="str">
        <x:v>Status</x:v>
      </x:c>
      <x:c r="J1" s="4" t="str">
        <x:v>Closed Date</x:v>
      </x:c>
    </x:row>
    <x:row r="2">
      <x:c r="A2" s="14" t="str">
        <x:v>AUD-2026-001</x:v>
      </x:c>
      <x:c r="B2" s="15" t="str">
        <x:v>2026-07-08</x:v>
      </x:c>
      <x:c r="C2" s="14" t="str">
        <x:v>AST-0014</x:v>
      </x:c>
      <x:c r="D2" s="14" t="str">
        <x:v>Returned laptop remained assigned to former user in tracking system</x:v>
      </x:c>
      <x:c r="E2" s="14" t="str">
        <x:v>Moderate</x:v>
      </x:c>
      <x:c r="F2" s="14" t="str">
        <x:v>Removed assignment, moved asset to secure disposal storage, and opened disposal record</x:v>
      </x:c>
      <x:c r="G2" s="14" t="str">
        <x:v>Jamie Christian II</x:v>
      </x:c>
      <x:c r="H2" s="15" t="str">
        <x:v>2026-07-10</x:v>
      </x:c>
      <x:c r="I2" s="14" t="str">
        <x:v>Closed</x:v>
      </x:c>
      <x:c r="J2" s="15" t="str">
        <x:v>2026-07-09</x:v>
      </x:c>
    </x:row>
    <x:row r="3">
      <x:c r="A3" s="14" t="str">
        <x:v>AUD-2026-002</x:v>
      </x:c>
      <x:c r="B3" s="15" t="str">
        <x:v>2026-07-13</x:v>
      </x:c>
      <x:c r="C3" s="14" t="str">
        <x:v>AST-0006</x:v>
      </x:c>
      <x:c r="D3" s="14" t="str">
        <x:v>Warranty expired without replacement decision</x:v>
      </x:c>
      <x:c r="E3" s="14" t="str">
        <x:v>Low</x:v>
      </x:c>
      <x:c r="F3" s="14" t="str">
        <x:v>Documented risk acceptance through September 2026 and added replacement to Q4 plan</x:v>
      </x:c>
      <x:c r="G3" s="14" t="str">
        <x:v>Infrastructure Manager</x:v>
      </x:c>
      <x:c r="H3" s="15" t="str">
        <x:v>2026-07-20</x:v>
      </x:c>
      <x:c r="I3" s="14" t="str">
        <x:v>Closed</x:v>
      </x:c>
      <x:c r="J3" s="15" t="str">
        <x:v>2026-07-18</x:v>
      </x:c>
    </x:row>
    <x:row r="4">
      <x:c r="A4" s="14" t="str">
        <x:v>AUD-2026-003</x:v>
      </x:c>
      <x:c r="B4" s="15" t="str">
        <x:v>2026-07-18</x:v>
      </x:c>
      <x:c r="C4" s="14" t="str">
        <x:v>AST-0012</x:v>
      </x:c>
      <x:c r="D4" s="14" t="str">
        <x:v>Printer firmware one release behind baseline</x:v>
      </x:c>
      <x:c r="E4" s="14" t="str">
        <x:v>Moderate</x:v>
      </x:c>
      <x:c r="F4" s="14" t="str">
        <x:v>Updated firmware and validated print and network functions</x:v>
      </x:c>
      <x:c r="G4" s="14" t="str">
        <x:v>Jamie Christian II</x:v>
      </x:c>
      <x:c r="H4" s="15" t="str">
        <x:v>2026-07-19</x:v>
      </x:c>
      <x:c r="I4" s="14" t="str">
        <x:v>Closed</x:v>
      </x:c>
      <x:c r="J4" s="15" t="str">
        <x:v>2026-07-18</x:v>
      </x:c>
    </x:row>
    <x:row r="5">
      <x:c r="A5" s="14" t="str">
        <x:v>AUD-2026-004</x:v>
      </x:c>
      <x:c r="B5" s="15" t="str">
        <x:v>2026-07-22</x:v>
      </x:c>
      <x:c r="C5" s="14" t="str">
        <x:v>AST-0005</x:v>
      </x:c>
      <x:c r="D5" s="14" t="str">
        <x:v>Stock laptop lacked current assignment-ready checklist</x:v>
      </x:c>
      <x:c r="E5" s="14" t="str">
        <x:v>Low</x:v>
      </x:c>
      <x:c r="F5" s="14" t="str">
        <x:v>Completed patching, encryption verification, and provisioning checklist</x:v>
      </x:c>
      <x:c r="G5" s="14" t="str">
        <x:v>Service Desk Analyst</x:v>
      </x:c>
      <x:c r="H5" s="15" t="str">
        <x:v>2026-07-24</x:v>
      </x:c>
      <x:c r="I5" s="14" t="str">
        <x:v>Closed</x:v>
      </x:c>
      <x:c r="J5" s="15" t="str">
        <x:v>2026-07-23</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8" hidden="0" customWidth="1"/>
    <x:col min="2" max="2" width="60" hidden="0" customWidth="1"/>
  </x:cols>
  <x:sheetData>
    <x:row r="1">
      <x:c r="A1" s="4" t="str">
        <x:v>Field</x:v>
      </x:c>
      <x:c r="B1" s="4" t="str">
        <x:v>Description</x:v>
      </x:c>
    </x:row>
    <x:row r="2">
      <x:c r="A2" s="14" t="str">
        <x:v>Asset ID</x:v>
      </x:c>
      <x:c r="B2" s="14" t="str">
        <x:v>Inventory field used to track asset id.</x:v>
      </x:c>
    </x:row>
    <x:row r="3">
      <x:c r="A3" s="14" t="str">
        <x:v>Serial Number</x:v>
      </x:c>
      <x:c r="B3" s="14" t="str">
        <x:v>Inventory field used to track serial number.</x:v>
      </x:c>
    </x:row>
    <x:row r="4">
      <x:c r="A4" s="14" t="str">
        <x:v>Asset Type</x:v>
      </x:c>
      <x:c r="B4" s="14" t="str">
        <x:v>Inventory field used to track asset type.</x:v>
      </x:c>
    </x:row>
    <x:row r="5">
      <x:c r="A5" s="14" t="str">
        <x:v>Manufacturer</x:v>
      </x:c>
      <x:c r="B5" s="14" t="str">
        <x:v>Inventory field used to track manufacturer.</x:v>
      </x:c>
    </x:row>
    <x:row r="6">
      <x:c r="A6" s="14" t="str">
        <x:v>Model</x:v>
      </x:c>
      <x:c r="B6" s="14" t="str">
        <x:v>Inventory field used to track model.</x:v>
      </x:c>
    </x:row>
    <x:row r="7">
      <x:c r="A7" s="14" t="str">
        <x:v>Operating System</x:v>
      </x:c>
      <x:c r="B7" s="14" t="str">
        <x:v>Inventory field used to track operating system.</x:v>
      </x:c>
    </x:row>
    <x:row r="8">
      <x:c r="A8" s="14" t="str">
        <x:v>Assigned User</x:v>
      </x:c>
      <x:c r="B8" s="14" t="str">
        <x:v>Inventory field used to track assigned user.</x:v>
      </x:c>
    </x:row>
    <x:row r="9">
      <x:c r="A9" s="14" t="str">
        <x:v>Department</x:v>
      </x:c>
      <x:c r="B9" s="14" t="str">
        <x:v>Inventory field used to track department.</x:v>
      </x:c>
    </x:row>
    <x:row r="10">
      <x:c r="A10" s="14" t="str">
        <x:v>Location</x:v>
      </x:c>
      <x:c r="B10" s="14" t="str">
        <x:v>Inventory field used to track location.</x:v>
      </x:c>
    </x:row>
    <x:row r="11">
      <x:c r="A11" s="14" t="str">
        <x:v>Purchase Date</x:v>
      </x:c>
      <x:c r="B11" s="14" t="str">
        <x:v>Inventory field used to track purchase date.</x:v>
      </x:c>
    </x:row>
    <x:row r="12">
      <x:c r="A12" s="14" t="str">
        <x:v>Warranty Expiration</x:v>
      </x:c>
      <x:c r="B12" s="14" t="str">
        <x:v>Inventory field used to track warranty expiration.</x:v>
      </x:c>
    </x:row>
    <x:row r="13">
      <x:c r="A13" s="14" t="str">
        <x:v>Status</x:v>
      </x:c>
      <x:c r="B13" s="14" t="str">
        <x:v>Inventory field used to track status.</x:v>
      </x:c>
    </x:row>
    <x:row r="14">
      <x:c r="A14" s="14" t="str">
        <x:v>Encryption</x:v>
      </x:c>
      <x:c r="B14" s="14" t="str">
        <x:v>Inventory field used to track encryption.</x:v>
      </x:c>
    </x:row>
    <x:row r="15">
      <x:c r="A15" s="14" t="str">
        <x:v>Security Status</x:v>
      </x:c>
      <x:c r="B15" s="14" t="str">
        <x:v>Inventory field used to track security status.</x:v>
      </x:c>
    </x:row>
    <x:row r="16">
      <x:c r="A16" s="14" t="str">
        <x:v>Last Audit Date</x:v>
      </x:c>
      <x:c r="B16" s="14" t="str">
        <x:v>Inventory field used to track last audit date.</x:v>
      </x:c>
    </x:row>
    <x:row r="17">
      <x:c r="A17" s="14" t="str">
        <x:v>Condition</x:v>
      </x:c>
      <x:c r="B17" s="14" t="str">
        <x:v>Inventory field used to track condition.</x:v>
      </x:c>
    </x:row>
    <x:row r="18">
      <x:c r="A18" s="14" t="str">
        <x:v>Support Coverage</x:v>
      </x:c>
      <x:c r="B18" s="14" t="str">
        <x:v>Inventory field used to track support coverage.</x:v>
      </x:c>
    </x:row>
  </x:sheetData>
  <x:pageMargins left="0.7" right="0.7" top="0.75" bottom="0.75" header="0.3" footer="0.3"/>
</x:worksheet>
</file>